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Kapak" sheetId="1" state="visible" r:id="rId1"/>
    <sheet xmlns:r="http://schemas.openxmlformats.org/officeDocument/2006/relationships" name="01 - Özet" sheetId="2" state="visible" r:id="rId2"/>
    <sheet xmlns:r="http://schemas.openxmlformats.org/officeDocument/2006/relationships" name="02 - Yönergeler" sheetId="3" state="visible" r:id="rId3"/>
    <sheet xmlns:r="http://schemas.openxmlformats.org/officeDocument/2006/relationships" name="W01 - Auth Kayıt-Giriş" sheetId="4" state="visible" r:id="rId4"/>
    <sheet xmlns:r="http://schemas.openxmlformats.org/officeDocument/2006/relationships" name="W02 - Şifre &amp; Email Doğrulama" sheetId="5" state="visible" r:id="rId5"/>
    <sheet xmlns:r="http://schemas.openxmlformats.org/officeDocument/2006/relationships" name="W03 - Anasayfa &amp; Keşif" sheetId="6" state="visible" r:id="rId6"/>
    <sheet xmlns:r="http://schemas.openxmlformats.org/officeDocument/2006/relationships" name="W04 - Ürün Detay" sheetId="7" state="visible" r:id="rId7"/>
    <sheet xmlns:r="http://schemas.openxmlformats.org/officeDocument/2006/relationships" name="W05 - Sepet" sheetId="8" state="visible" r:id="rId8"/>
    <sheet xmlns:r="http://schemas.openxmlformats.org/officeDocument/2006/relationships" name="W06 - Misafir Checkout" sheetId="9" state="visible" r:id="rId9"/>
    <sheet xmlns:r="http://schemas.openxmlformats.org/officeDocument/2006/relationships" name="W07 - Üye Checkout" sheetId="10" state="visible" r:id="rId10"/>
    <sheet xmlns:r="http://schemas.openxmlformats.org/officeDocument/2006/relationships" name="W08 - Ödeme PayTR" sheetId="11" state="visible" r:id="rId11"/>
    <sheet xmlns:r="http://schemas.openxmlformats.org/officeDocument/2006/relationships" name="W09 - Siparişlerim Listesi" sheetId="12" state="visible" r:id="rId12"/>
    <sheet xmlns:r="http://schemas.openxmlformats.org/officeDocument/2006/relationships" name="W10 - Sipariş Detay &amp; Takip" sheetId="13" state="visible" r:id="rId13"/>
    <sheet xmlns:r="http://schemas.openxmlformats.org/officeDocument/2006/relationships" name="W11 - Sipariş İptal" sheetId="14" state="visible" r:id="rId14"/>
    <sheet xmlns:r="http://schemas.openxmlformats.org/officeDocument/2006/relationships" name="W12 - İade Talebi" sheetId="15" state="visible" r:id="rId15"/>
    <sheet xmlns:r="http://schemas.openxmlformats.org/officeDocument/2006/relationships" name="W13 - Profil &amp; Ayarlar" sheetId="16" state="visible" r:id="rId16"/>
    <sheet xmlns:r="http://schemas.openxmlformats.org/officeDocument/2006/relationships" name="W14 - Satıcı İlan Yönetimi" sheetId="17" state="visible" r:id="rId17"/>
    <sheet xmlns:r="http://schemas.openxmlformats.org/officeDocument/2006/relationships" name="W15 - Satıcı Sipariş Yönetimi" sheetId="18" state="visible" r:id="rId18"/>
    <sheet xmlns:r="http://schemas.openxmlformats.org/officeDocument/2006/relationships" name="W16 - Teklifler" sheetId="19" state="visible" r:id="rId19"/>
    <sheet xmlns:r="http://schemas.openxmlformats.org/officeDocument/2006/relationships" name="W17 - Takas Trade" sheetId="20" state="visible" r:id="rId20"/>
    <sheet xmlns:r="http://schemas.openxmlformats.org/officeDocument/2006/relationships" name="W18 - Mesajlar" sheetId="21" state="visible" r:id="rId21"/>
    <sheet xmlns:r="http://schemas.openxmlformats.org/officeDocument/2006/relationships" name="W19 - Bildirimler" sheetId="22" state="visible" r:id="rId22"/>
    <sheet xmlns:r="http://schemas.openxmlformats.org/officeDocument/2006/relationships" name="W20 - Favori Wishlist Koleksiyo" sheetId="23" state="visible" r:id="rId23"/>
    <sheet xmlns:r="http://schemas.openxmlformats.org/officeDocument/2006/relationships" name="W21 - Üyelik Membership" sheetId="24" state="visible" r:id="rId24"/>
    <sheet xmlns:r="http://schemas.openxmlformats.org/officeDocument/2006/relationships" name="W22 - Statik &amp; Yasal" sheetId="25" state="visible" r:id="rId25"/>
    <sheet xmlns:r="http://schemas.openxmlformats.org/officeDocument/2006/relationships" name="W23 - Mobil &amp; Responsive" sheetId="26" state="visible" r:id="rId26"/>
    <sheet xmlns:r="http://schemas.openxmlformats.org/officeDocument/2006/relationships" name="A01 - Admin Login &amp; Yetki" sheetId="27" state="visible" r:id="rId27"/>
    <sheet xmlns:r="http://schemas.openxmlformats.org/officeDocument/2006/relationships" name="A02 - Dashboard &amp; Analitik" sheetId="28" state="visible" r:id="rId28"/>
    <sheet xmlns:r="http://schemas.openxmlformats.org/officeDocument/2006/relationships" name="A03 - Ürün Yönetimi" sheetId="29" state="visible" r:id="rId29"/>
    <sheet xmlns:r="http://schemas.openxmlformats.org/officeDocument/2006/relationships" name="A04 - Katalog Master" sheetId="30" state="visible" r:id="rId30"/>
    <sheet xmlns:r="http://schemas.openxmlformats.org/officeDocument/2006/relationships" name="A05 - Sipariş Yönetimi" sheetId="31" state="visible" r:id="rId31"/>
    <sheet xmlns:r="http://schemas.openxmlformats.org/officeDocument/2006/relationships" name="A06 - Ödeme &amp; İade &amp; Payout" sheetId="32" state="visible" r:id="rId32"/>
    <sheet xmlns:r="http://schemas.openxmlformats.org/officeDocument/2006/relationships" name="A07 - Komisyon Vergi Kargo" sheetId="33" state="visible" r:id="rId33"/>
    <sheet xmlns:r="http://schemas.openxmlformats.org/officeDocument/2006/relationships" name="A08 - Kullanıcı Yönetimi" sheetId="34" state="visible" r:id="rId34"/>
    <sheet xmlns:r="http://schemas.openxmlformats.org/officeDocument/2006/relationships" name="A09 - Satıcı Başvuru &amp; Performa" sheetId="35" state="visible" r:id="rId35"/>
    <sheet xmlns:r="http://schemas.openxmlformats.org/officeDocument/2006/relationships" name="A10 - Üyelik Tier Yönetimi" sheetId="36" state="visible" r:id="rId36"/>
    <sheet xmlns:r="http://schemas.openxmlformats.org/officeDocument/2006/relationships" name="A11 - İndirim &amp; Kupon" sheetId="37" state="visible" r:id="rId37"/>
    <sheet xmlns:r="http://schemas.openxmlformats.org/officeDocument/2006/relationships" name="A12 - Email Şablonları" sheetId="38" state="visible" r:id="rId38"/>
    <sheet xmlns:r="http://schemas.openxmlformats.org/officeDocument/2006/relationships" name="A13 - Yorum &amp; Moderasyon" sheetId="39" state="visible" r:id="rId39"/>
    <sheet xmlns:r="http://schemas.openxmlformats.org/officeDocument/2006/relationships" name="A14 - Reklamlar" sheetId="40" state="visible" r:id="rId40"/>
    <sheet xmlns:r="http://schemas.openxmlformats.org/officeDocument/2006/relationships" name="A15 - Takas Yönetimi" sheetId="41" state="visible" r:id="rId41"/>
    <sheet xmlns:r="http://schemas.openxmlformats.org/officeDocument/2006/relationships" name="A16 - Destek (Support)" sheetId="42" state="visible" r:id="rId42"/>
    <sheet xmlns:r="http://schemas.openxmlformats.org/officeDocument/2006/relationships" name="A17 - Roller &amp; İzinler" sheetId="43" state="visible" r:id="rId43"/>
    <sheet xmlns:r="http://schemas.openxmlformats.org/officeDocument/2006/relationships" name="A18 - Platform Ayarları" sheetId="44" state="visible" r:id="rId44"/>
    <sheet xmlns:r="http://schemas.openxmlformats.org/officeDocument/2006/relationships" name="A19 - Audit &amp; Sistem Logları" sheetId="45" state="visible" r:id="rId45"/>
    <sheet xmlns:r="http://schemas.openxmlformats.org/officeDocument/2006/relationships" name="E01 - E2E Misafir Satın Al" sheetId="46" state="visible" r:id="rId46"/>
    <sheet xmlns:r="http://schemas.openxmlformats.org/officeDocument/2006/relationships" name="E02 - E2E Üye İade" sheetId="47" state="visible" r:id="rId47"/>
    <sheet xmlns:r="http://schemas.openxmlformats.org/officeDocument/2006/relationships" name="E03 - E2E Kargolanmadan İptal" sheetId="48" state="visible" r:id="rId48"/>
    <sheet xmlns:r="http://schemas.openxmlformats.org/officeDocument/2006/relationships" name="E04 - E2E Satıcı Yolculuğu" sheetId="49" state="visible" r:id="rId49"/>
    <sheet xmlns:r="http://schemas.openxmlformats.org/officeDocument/2006/relationships" name="E05 - E2E Teklif Akışı" sheetId="50" state="visible" r:id="rId50"/>
    <sheet xmlns:r="http://schemas.openxmlformats.org/officeDocument/2006/relationships" name="E06 - E2E Takas" sheetId="51" state="visible" r:id="rId51"/>
    <sheet xmlns:r="http://schemas.openxmlformats.org/officeDocument/2006/relationships" name="E07 - E2E Üyelik" sheetId="52" state="visible" r:id="rId52"/>
    <sheet xmlns:r="http://schemas.openxmlformats.org/officeDocument/2006/relationships" name="E08 - E2E Şifre Sıfırlama" sheetId="53" state="visible" r:id="rId53"/>
    <sheet xmlns:r="http://schemas.openxmlformats.org/officeDocument/2006/relationships" name="E09 - E2E Stok Yarış" sheetId="54" state="visible" r:id="rId54"/>
    <sheet xmlns:r="http://schemas.openxmlformats.org/officeDocument/2006/relationships" name="E10 - E2E Bildirim Akışı" sheetId="55" state="visible" r:id="rId55"/>
    <sheet xmlns:r="http://schemas.openxmlformats.org/officeDocument/2006/relationships" name="C01 - Mail Bildirim Listesi" sheetId="56" state="visible" r:id="rId56"/>
    <sheet xmlns:r="http://schemas.openxmlformats.org/officeDocument/2006/relationships" name="C02 - Push InApp Bildirim" sheetId="57" state="visible" r:id="rId57"/>
    <sheet xmlns:r="http://schemas.openxmlformats.org/officeDocument/2006/relationships" name="C03 - Cron Otomatik İşler" sheetId="58" state="visible" r:id="rId58"/>
    <sheet xmlns:r="http://schemas.openxmlformats.org/officeDocument/2006/relationships" name="C04 - Edge Cases" sheetId="59" state="visible" r:id="rId59"/>
    <sheet xmlns:r="http://schemas.openxmlformats.org/officeDocument/2006/relationships" name="C05 - Performans Yük" sheetId="60" state="visible" r:id="rId60"/>
    <sheet xmlns:r="http://schemas.openxmlformats.org/officeDocument/2006/relationships" name="C06 - Güvenlik" sheetId="61" state="visible" r:id="rId61"/>
    <sheet xmlns:r="http://schemas.openxmlformats.org/officeDocument/2006/relationships" name="C08 - Escrow Release Kuralları" sheetId="62" state="visible" r:id="rId62"/>
    <sheet xmlns:r="http://schemas.openxmlformats.org/officeDocument/2006/relationships" name="C07 - Tarayıcı Cihaz Uyumu" sheetId="63" state="visible" r:id="rId63"/>
    <sheet xmlns:r="http://schemas.openxmlformats.org/officeDocument/2006/relationships" name="ZZ - Final İmza" sheetId="64" state="visible" r:id="rId64"/>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44"/>
    </font>
    <font>
      <name val="Calibri"/>
      <i val="1"/>
      <color rgb="001F2A44"/>
      <sz val="12"/>
    </font>
    <font>
      <name val="Calibri"/>
      <b val="1"/>
      <color rgb="001F2A44"/>
      <sz val="28"/>
    </font>
    <font>
      <name val="Calibri"/>
      <color rgb="00555555"/>
      <sz val="12"/>
    </font>
    <font>
      <name val="Calibri"/>
      <b val="1"/>
      <sz val="11"/>
    </font>
    <font>
      <name val="Calibri"/>
      <sz val="10"/>
    </font>
    <font>
      <name val="Calibri"/>
      <b val="1"/>
      <color rgb="00FFFFFF"/>
      <sz val="14"/>
    </font>
    <font>
      <name val="Calibri"/>
      <b val="1"/>
      <color rgb="00FFFFFF"/>
      <sz val="22"/>
    </font>
    <font>
      <name val="Calibri"/>
      <i val="1"/>
      <color rgb="00555555"/>
      <sz val="9"/>
    </font>
    <font>
      <name val="Calibri"/>
      <b val="1"/>
      <color rgb="001F2A44"/>
      <sz val="11"/>
    </font>
    <font>
      <name val="Calibri"/>
      <b val="1"/>
      <color rgb="00FFFFFF"/>
      <sz val="11"/>
    </font>
  </fonts>
  <fills count="7">
    <fill>
      <patternFill/>
    </fill>
    <fill>
      <patternFill patternType="gray125"/>
    </fill>
    <fill>
      <patternFill patternType="solid">
        <fgColor rgb="001F2A44"/>
      </patternFill>
    </fill>
    <fill>
      <patternFill patternType="solid">
        <fgColor rgb="00F4F1E8"/>
      </patternFill>
    </fill>
    <fill>
      <patternFill patternType="solid">
        <fgColor rgb="00EFEFEF"/>
      </patternFill>
    </fill>
    <fill>
      <patternFill patternType="solid">
        <fgColor rgb="00C9A227"/>
      </patternFill>
    </fill>
    <fill>
      <patternFill patternType="solid">
        <fgColor rgb="00FAF8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0" fillId="0" borderId="1" pivotButton="0" quotePrefix="0" xfId="0"/>
    <xf numFmtId="0" fontId="7" fillId="2" borderId="0" applyAlignment="1" pivotButton="0" quotePrefix="0" xfId="0">
      <alignment horizontal="center" vertical="center" wrapText="1"/>
    </xf>
    <xf numFmtId="0" fontId="6" fillId="3" borderId="0" applyAlignment="1" pivotButton="0" quotePrefix="0" xfId="0">
      <alignment horizontal="left" vertical="top" wrapText="1"/>
    </xf>
    <xf numFmtId="0" fontId="5" fillId="5" borderId="0" applyAlignment="1" pivotButton="0" quotePrefix="0" xfId="0">
      <alignment horizontal="center" vertical="center" wrapText="1"/>
    </xf>
    <xf numFmtId="0" fontId="6" fillId="4" borderId="1" pivotButton="0" quotePrefix="0" xfId="0"/>
    <xf numFmtId="0" fontId="8" fillId="2" borderId="0" applyAlignment="1" pivotButton="0" quotePrefix="0" xfId="0">
      <alignment horizontal="center" vertical="center" wrapText="1"/>
    </xf>
    <xf numFmtId="0" fontId="10" fillId="5"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top" wrapText="1"/>
    </xf>
    <xf numFmtId="0" fontId="0" fillId="2" borderId="0" pivotButton="0" quotePrefix="0" xfId="0"/>
    <xf numFmtId="0" fontId="11" fillId="2" borderId="0" applyAlignment="1" pivotButton="0" quotePrefix="0" xfId="0">
      <alignment horizontal="center" vertical="center" wrapText="1"/>
    </xf>
    <xf numFmtId="0" fontId="5" fillId="3" borderId="1" pivotButton="0" quotePrefix="0" xfId="0"/>
    <xf numFmtId="164" fontId="5" fillId="0" borderId="1" applyAlignment="1" pivotButton="0" quotePrefix="0" xfId="0">
      <alignment horizontal="center" vertical="center" wrapText="1"/>
    </xf>
    <xf numFmtId="0" fontId="5" fillId="3" borderId="1" applyAlignment="1" pivotButton="0" quotePrefix="0" xfId="0">
      <alignment horizontal="left" vertical="top" wrapText="1"/>
    </xf>
    <xf numFmtId="0" fontId="9" fillId="3" borderId="0" applyAlignment="1" pivotButton="0" quotePrefix="0" xfId="0">
      <alignment horizontal="lef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5" fillId="3" borderId="0" applyAlignment="1" pivotButton="0" quotePrefix="0" xfId="0">
      <alignment horizontal="left" vertical="top" wrapText="1"/>
    </xf>
    <xf numFmtId="0" fontId="5" fillId="4" borderId="0" pivotButton="0" quotePrefix="0" xfId="0"/>
    <xf numFmtId="0" fontId="5" fillId="4" borderId="1" pivotButton="0" quotePrefix="0" xfId="0"/>
    <xf numFmtId="0" fontId="6" fillId="0" borderId="1" pivotButton="0" quotePrefix="0" xfId="0"/>
  </cellXfs>
  <cellStyles count="1">
    <cellStyle name="Normal" xfId="0" builtinId="0" hidden="0"/>
  </cellStyles>
  <dxfs count="5">
    <dxf>
      <fill>
        <patternFill patternType="solid">
          <fgColor rgb="00C6EFCE"/>
        </patternFill>
      </fill>
    </dxf>
    <dxf>
      <font>
        <b val="1"/>
        <color rgb="009C0006"/>
      </font>
      <fill>
        <patternFill patternType="solid">
          <fgColor rgb="00FFC7CE"/>
        </patternFill>
      </fill>
    </dxf>
    <dxf>
      <fill>
        <patternFill patternType="solid">
          <fgColor rgb="00FFEB9C"/>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styles" Target="styles.xml" Id="rId65"/><Relationship Type="http://schemas.openxmlformats.org/officeDocument/2006/relationships/theme" Target="theme/theme1.xml" Id="rId6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4:I3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row r="2" ht="22" customHeight="1"/>
    <row r="3" ht="22" customHeight="1"/>
    <row r="4" ht="32" customHeight="1">
      <c r="A4" s="1" t="inlineStr">
        <is>
          <t>TARODAN</t>
        </is>
      </c>
    </row>
    <row r="5" ht="32" customHeight="1"/>
    <row r="6" ht="32" customHeight="1"/>
    <row r="7" ht="26" customHeight="1">
      <c r="A7" s="2" t="inlineStr">
        <is>
          <t>Koleksiyoner Modeli &amp; İkinci El Pazarı</t>
        </is>
      </c>
    </row>
    <row r="9" ht="30" customHeight="1">
      <c r="A9" s="3" t="inlineStr">
        <is>
          <t>KULLANICI KABUL TESTİ (UAT) PLANI</t>
        </is>
      </c>
    </row>
    <row r="10" ht="30" customHeight="1"/>
    <row r="11" ht="30" customHeight="1"/>
    <row r="12">
      <c r="A12" s="4" t="inlineStr">
        <is>
          <t>Web Platformu (tarodan.shop) + Admin Paneli (admin.tarodan.shop)</t>
        </is>
      </c>
    </row>
    <row r="15" ht="22" customHeight="1">
      <c r="B15" s="5" t="inlineStr">
        <is>
          <t>Proje Adı</t>
        </is>
      </c>
      <c r="C15" s="6" t="inlineStr">
        <is>
          <t>Tarodan E-Ticaret Platformu</t>
        </is>
      </c>
      <c r="D15" s="7" t="n"/>
      <c r="E15" s="7" t="n"/>
      <c r="F15" s="7" t="n"/>
      <c r="G15" s="7" t="n"/>
      <c r="H15" s="7" t="n"/>
    </row>
    <row r="16" ht="22" customHeight="1">
      <c r="B16" s="5" t="inlineStr">
        <is>
          <t>Doküman Türü</t>
        </is>
      </c>
      <c r="C16" s="6" t="inlineStr">
        <is>
          <t>Kabul Testi (UAT) — Resmi Onay Belgesi</t>
        </is>
      </c>
      <c r="D16" s="7" t="n"/>
      <c r="E16" s="7" t="n"/>
      <c r="F16" s="7" t="n"/>
      <c r="G16" s="7" t="n"/>
      <c r="H16" s="7" t="n"/>
    </row>
    <row r="17" ht="22" customHeight="1">
      <c r="B17" s="5" t="inlineStr">
        <is>
          <t>Versiyon</t>
        </is>
      </c>
      <c r="C17" s="6" t="inlineStr">
        <is>
          <t>1.0</t>
        </is>
      </c>
      <c r="D17" s="7" t="n"/>
      <c r="E17" s="7" t="n"/>
      <c r="F17" s="7" t="n"/>
      <c r="G17" s="7" t="n"/>
      <c r="H17" s="7" t="n"/>
    </row>
    <row r="18" ht="22" customHeight="1">
      <c r="B18" s="5" t="inlineStr">
        <is>
          <t>Hazırlayan</t>
        </is>
      </c>
      <c r="C18" s="6" t="inlineStr">
        <is>
          <t>Tarodan Geliştirme Ekibi</t>
        </is>
      </c>
      <c r="D18" s="7" t="n"/>
      <c r="E18" s="7" t="n"/>
      <c r="F18" s="7" t="n"/>
      <c r="G18" s="7" t="n"/>
      <c r="H18" s="7" t="n"/>
    </row>
    <row r="19" ht="22" customHeight="1">
      <c r="B19" s="5" t="inlineStr">
        <is>
          <t>Müşteri</t>
        </is>
      </c>
      <c r="C19" s="6" t="inlineStr"/>
      <c r="D19" s="7" t="n"/>
      <c r="E19" s="7" t="n"/>
      <c r="F19" s="7" t="n"/>
      <c r="G19" s="7" t="n"/>
      <c r="H19" s="7" t="n"/>
    </row>
    <row r="20" ht="22" customHeight="1">
      <c r="B20" s="5" t="inlineStr">
        <is>
          <t>Hazırlanma Tarihi</t>
        </is>
      </c>
      <c r="C20" s="6" t="inlineStr">
        <is>
          <t>01.05.2026</t>
        </is>
      </c>
      <c r="D20" s="7" t="n"/>
      <c r="E20" s="7" t="n"/>
      <c r="F20" s="7" t="n"/>
      <c r="G20" s="7" t="n"/>
      <c r="H20" s="7" t="n"/>
    </row>
    <row r="21" ht="22" customHeight="1">
      <c r="B21" s="5" t="inlineStr">
        <is>
          <t>Test Başlangıç Tarihi</t>
        </is>
      </c>
      <c r="C21" s="6" t="inlineStr"/>
      <c r="D21" s="7" t="n"/>
      <c r="E21" s="7" t="n"/>
      <c r="F21" s="7" t="n"/>
      <c r="G21" s="7" t="n"/>
      <c r="H21" s="7" t="n"/>
    </row>
    <row r="22" ht="22" customHeight="1">
      <c r="B22" s="5" t="inlineStr">
        <is>
          <t>Test Bitiş Tarihi</t>
        </is>
      </c>
      <c r="C22" s="6" t="inlineStr"/>
      <c r="D22" s="7" t="n"/>
      <c r="E22" s="7" t="n"/>
      <c r="F22" s="7" t="n"/>
      <c r="G22" s="7" t="n"/>
      <c r="H22" s="7" t="n"/>
    </row>
    <row r="23" ht="22" customHeight="1">
      <c r="B23" s="5" t="inlineStr">
        <is>
          <t>Toplam Sheet Sayısı</t>
        </is>
      </c>
      <c r="C23" s="6" t="inlineStr">
        <is>
          <t>Bkz. 01 - Özet</t>
        </is>
      </c>
      <c r="D23" s="7" t="n"/>
      <c r="E23" s="7" t="n"/>
      <c r="F23" s="7" t="n"/>
      <c r="G23" s="7" t="n"/>
      <c r="H23" s="7" t="n"/>
    </row>
    <row r="24" ht="22" customHeight="1">
      <c r="B24" s="5" t="inlineStr">
        <is>
          <t>Toplam Test Senaryosu</t>
        </is>
      </c>
      <c r="C24" s="6" t="inlineStr">
        <is>
          <t>Bkz. 01 - Özet</t>
        </is>
      </c>
      <c r="D24" s="7" t="n"/>
      <c r="E24" s="7" t="n"/>
      <c r="F24" s="7" t="n"/>
      <c r="G24" s="7" t="n"/>
      <c r="H24" s="7" t="n"/>
    </row>
    <row r="28" ht="32" customHeight="1">
      <c r="B28" s="8" t="inlineStr">
        <is>
          <t>RESMİ ONAY VE TESLİM</t>
        </is>
      </c>
    </row>
    <row r="29" ht="22" customHeight="1">
      <c r="B29" s="9" t="inlineStr">
        <is>
          <t>İşbu doküman, Tarodan platformunun (web ve admin) tüm fonksiyonel kapsamını kapsayan kabul testi (UAT) senaryolarını içermektedir. Her sheet bir modül/sayfa için detaylı test adımları, beklenen sonuçlar ve sonuç işaretleme alanları sunar. Tüm sheet'lerin sonunda Tarodan ekibi ve Müşteri için ayrı imza alanları bulunmaktadır.
Aşağıdaki imzalar, müşterinin platformun belirtilen tüm senaryoları başarıyla geçtiğini ve teslim alındığını teyit eder. Sheet bazlı detay sonuçlar için ilgili sayfayı, modül bazlı özet için '01 - Özet' sayfasını inceleyiniz.</t>
        </is>
      </c>
    </row>
    <row r="30" ht="22" customHeight="1"/>
    <row r="31" ht="22" customHeight="1"/>
    <row r="32" ht="22" customHeight="1"/>
    <row r="35">
      <c r="B35" s="10" t="inlineStr">
        <is>
          <t>Tarodan — Proje Sorumlusu</t>
        </is>
      </c>
      <c r="F35" s="10" t="inlineStr">
        <is>
          <t>Müşteri — Yetkili</t>
        </is>
      </c>
    </row>
    <row r="36" ht="22" customHeight="1">
      <c r="B36" s="11" t="inlineStr">
        <is>
          <t>Ad Soyad</t>
        </is>
      </c>
      <c r="C36" s="7" t="n"/>
      <c r="D36" s="7" t="n"/>
      <c r="F36" s="11" t="inlineStr">
        <is>
          <t>Ad Soyad</t>
        </is>
      </c>
      <c r="G36" s="7" t="n"/>
      <c r="H36" s="7" t="n"/>
    </row>
    <row r="37" ht="22" customHeight="1">
      <c r="B37" s="11" t="inlineStr">
        <is>
          <t>Tarih</t>
        </is>
      </c>
      <c r="C37" s="7" t="n"/>
      <c r="D37" s="7" t="n"/>
      <c r="F37" s="11" t="inlineStr">
        <is>
          <t>Tarih</t>
        </is>
      </c>
      <c r="G37" s="7" t="n"/>
      <c r="H37" s="7" t="n"/>
    </row>
    <row r="38" ht="32" customHeight="1">
      <c r="B38" s="11" t="inlineStr">
        <is>
          <t>İmza / Kaşe</t>
        </is>
      </c>
      <c r="C38" s="7" t="n"/>
      <c r="D38" s="7" t="n"/>
      <c r="F38" s="11" t="inlineStr">
        <is>
          <t>İmza / Kaşe</t>
        </is>
      </c>
      <c r="G38" s="7" t="n"/>
      <c r="H38" s="7" t="n"/>
    </row>
  </sheetData>
  <mergeCells count="24">
    <mergeCell ref="A7:I7"/>
    <mergeCell ref="C16:H16"/>
    <mergeCell ref="C22:H22"/>
    <mergeCell ref="F35:H35"/>
    <mergeCell ref="G36:H36"/>
    <mergeCell ref="A12:I12"/>
    <mergeCell ref="C21:H21"/>
    <mergeCell ref="G38:H38"/>
    <mergeCell ref="C23:H23"/>
    <mergeCell ref="G37:H37"/>
    <mergeCell ref="B29:H32"/>
    <mergeCell ref="C17:H17"/>
    <mergeCell ref="C19:H19"/>
    <mergeCell ref="B35:D35"/>
    <mergeCell ref="A4:I6"/>
    <mergeCell ref="C36:D36"/>
    <mergeCell ref="C18:H18"/>
    <mergeCell ref="C15:H15"/>
    <mergeCell ref="C24:H24"/>
    <mergeCell ref="C38:D38"/>
    <mergeCell ref="A9:I11"/>
    <mergeCell ref="C37:D37"/>
    <mergeCell ref="C20:H20"/>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
  <sheetViews>
    <sheetView showGridLines="0" workbookViewId="0">
      <selection activeCell="A1" sqref="A1"/>
    </sheetView>
  </sheetViews>
  <sheetFormatPr baseColWidth="8" defaultRowHeight="15"/>
  <cols>
    <col width="6" customWidth="1" min="1" max="1"/>
    <col width="32"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12" t="inlineStr">
        <is>
          <t>TEST SONUÇLARI ÖZETİ</t>
        </is>
      </c>
    </row>
    <row r="2"/>
    <row r="4" ht="36" customHeight="1">
      <c r="A4" s="13" t="inlineStr">
        <is>
          <t>#</t>
        </is>
      </c>
      <c r="B4" s="13" t="inlineStr">
        <is>
          <t>Sheet</t>
        </is>
      </c>
      <c r="C4" s="13" t="inlineStr">
        <is>
          <t>Açıklama</t>
        </is>
      </c>
      <c r="D4" s="13" t="inlineStr">
        <is>
          <t>Toplam</t>
        </is>
      </c>
      <c r="E4" s="13" t="inlineStr">
        <is>
          <t>Geçti</t>
        </is>
      </c>
      <c r="F4" s="13" t="inlineStr">
        <is>
          <t>Kaldı</t>
        </is>
      </c>
      <c r="G4" s="13" t="inlineStr">
        <is>
          <t>Bloke</t>
        </is>
      </c>
      <c r="H4" s="13" t="inlineStr">
        <is>
          <t>Yapılamadı</t>
        </is>
      </c>
      <c r="I4" s="13" t="inlineStr">
        <is>
          <t>N/A</t>
        </is>
      </c>
      <c r="J4" s="13" t="inlineStr">
        <is>
          <t>Beklemede</t>
        </is>
      </c>
    </row>
    <row r="5" ht="22" customHeight="1">
      <c r="A5" s="14" t="n">
        <v>1</v>
      </c>
      <c r="B5" s="15" t="inlineStr">
        <is>
          <t>W01 - Auth Kayıt-Giriş</t>
        </is>
      </c>
      <c r="C5" s="6" t="inlineStr">
        <is>
          <t>W01 — Kayıt, Giriş ve Çıkış</t>
        </is>
      </c>
      <c r="D5" s="14" t="n">
        <v>13</v>
      </c>
      <c r="E5" s="14">
        <f>COUNTIF('W01 - Auth Kayıt-Giriş'!H4:H16,"Geçti")</f>
        <v/>
      </c>
      <c r="F5" s="14">
        <f>COUNTIF('W01 - Auth Kayıt-Giriş'!H4:H16,"Kaldı")</f>
        <v/>
      </c>
      <c r="G5" s="14">
        <f>COUNTIF('W01 - Auth Kayıt-Giriş'!H4:H16,"Bloke")</f>
        <v/>
      </c>
      <c r="H5" s="14">
        <f>COUNTIF('W01 - Auth Kayıt-Giriş'!H4:H16,"Yapılamadı")</f>
        <v/>
      </c>
      <c r="I5" s="14">
        <f>COUNTIF('W01 - Auth Kayıt-Giriş'!H4:H16,"N/A")</f>
        <v/>
      </c>
      <c r="J5" s="14">
        <f>COUNTIF('W01 - Auth Kayıt-Giriş'!H4:H16,"Beklemede")</f>
        <v/>
      </c>
    </row>
    <row r="6" ht="22" customHeight="1">
      <c r="A6" s="16" t="n">
        <v>2</v>
      </c>
      <c r="B6" s="17" t="inlineStr">
        <is>
          <t>W02 - Şifre &amp; Email Doğrulama</t>
        </is>
      </c>
      <c r="C6" s="18" t="inlineStr">
        <is>
          <t>W02 — Şifre Sıfırlama, E-posta ve OTP Doğrulama</t>
        </is>
      </c>
      <c r="D6" s="16" t="n">
        <v>13</v>
      </c>
      <c r="E6" s="16">
        <f>COUNTIF('W02 - Şifre &amp; Email Doğrulama'!H4:H16,"Geçti")</f>
        <v/>
      </c>
      <c r="F6" s="16">
        <f>COUNTIF('W02 - Şifre &amp; Email Doğrulama'!H4:H16,"Kaldı")</f>
        <v/>
      </c>
      <c r="G6" s="16">
        <f>COUNTIF('W02 - Şifre &amp; Email Doğrulama'!H4:H16,"Bloke")</f>
        <v/>
      </c>
      <c r="H6" s="16">
        <f>COUNTIF('W02 - Şifre &amp; Email Doğrulama'!H4:H16,"Yapılamadı")</f>
        <v/>
      </c>
      <c r="I6" s="16">
        <f>COUNTIF('W02 - Şifre &amp; Email Doğrulama'!H4:H16,"N/A")</f>
        <v/>
      </c>
      <c r="J6" s="16">
        <f>COUNTIF('W02 - Şifre &amp; Email Doğrulama'!H4:H16,"Beklemede")</f>
        <v/>
      </c>
    </row>
    <row r="7" ht="22" customHeight="1">
      <c r="A7" s="14" t="n">
        <v>3</v>
      </c>
      <c r="B7" s="15" t="inlineStr">
        <is>
          <t>W03 - Anasayfa &amp; Keşif</t>
        </is>
      </c>
      <c r="C7" s="6" t="inlineStr">
        <is>
          <t>W03 — Anasayfa, Listeleme, Arama, Kategori, Marka, Üretici</t>
        </is>
      </c>
      <c r="D7" s="14" t="n">
        <v>14</v>
      </c>
      <c r="E7" s="14">
        <f>COUNTIF('W03 - Anasayfa &amp; Keşif'!H4:H17,"Geçti")</f>
        <v/>
      </c>
      <c r="F7" s="14">
        <f>COUNTIF('W03 - Anasayfa &amp; Keşif'!H4:H17,"Kaldı")</f>
        <v/>
      </c>
      <c r="G7" s="14">
        <f>COUNTIF('W03 - Anasayfa &amp; Keşif'!H4:H17,"Bloke")</f>
        <v/>
      </c>
      <c r="H7" s="14">
        <f>COUNTIF('W03 - Anasayfa &amp; Keşif'!H4:H17,"Yapılamadı")</f>
        <v/>
      </c>
      <c r="I7" s="14">
        <f>COUNTIF('W03 - Anasayfa &amp; Keşif'!H4:H17,"N/A")</f>
        <v/>
      </c>
      <c r="J7" s="14">
        <f>COUNTIF('W03 - Anasayfa &amp; Keşif'!H4:H17,"Beklemede")</f>
        <v/>
      </c>
    </row>
    <row r="8" ht="22" customHeight="1">
      <c r="A8" s="16" t="n">
        <v>4</v>
      </c>
      <c r="B8" s="17" t="inlineStr">
        <is>
          <t>W04 - Ürün Detay</t>
        </is>
      </c>
      <c r="C8" s="18" t="inlineStr">
        <is>
          <t>W04 — Ürün Detay Sayfası</t>
        </is>
      </c>
      <c r="D8" s="16" t="n">
        <v>14</v>
      </c>
      <c r="E8" s="16">
        <f>COUNTIF('W04 - Ürün Detay'!H4:H17,"Geçti")</f>
        <v/>
      </c>
      <c r="F8" s="16">
        <f>COUNTIF('W04 - Ürün Detay'!H4:H17,"Kaldı")</f>
        <v/>
      </c>
      <c r="G8" s="16">
        <f>COUNTIF('W04 - Ürün Detay'!H4:H17,"Bloke")</f>
        <v/>
      </c>
      <c r="H8" s="16">
        <f>COUNTIF('W04 - Ürün Detay'!H4:H17,"Yapılamadı")</f>
        <v/>
      </c>
      <c r="I8" s="16">
        <f>COUNTIF('W04 - Ürün Detay'!H4:H17,"N/A")</f>
        <v/>
      </c>
      <c r="J8" s="16">
        <f>COUNTIF('W04 - Ürün Detay'!H4:H17,"Beklemede")</f>
        <v/>
      </c>
    </row>
    <row r="9" ht="22" customHeight="1">
      <c r="A9" s="14" t="n">
        <v>5</v>
      </c>
      <c r="B9" s="15" t="inlineStr">
        <is>
          <t>W05 - Sepet</t>
        </is>
      </c>
      <c r="C9" s="6" t="inlineStr">
        <is>
          <t>W05 — Sepet İşlemleri</t>
        </is>
      </c>
      <c r="D9" s="14" t="n">
        <v>10</v>
      </c>
      <c r="E9" s="14">
        <f>COUNTIF('W05 - Sepet'!H4:H13,"Geçti")</f>
        <v/>
      </c>
      <c r="F9" s="14">
        <f>COUNTIF('W05 - Sepet'!H4:H13,"Kaldı")</f>
        <v/>
      </c>
      <c r="G9" s="14">
        <f>COUNTIF('W05 - Sepet'!H4:H13,"Bloke")</f>
        <v/>
      </c>
      <c r="H9" s="14">
        <f>COUNTIF('W05 - Sepet'!H4:H13,"Yapılamadı")</f>
        <v/>
      </c>
      <c r="I9" s="14">
        <f>COUNTIF('W05 - Sepet'!H4:H13,"N/A")</f>
        <v/>
      </c>
      <c r="J9" s="14">
        <f>COUNTIF('W05 - Sepet'!H4:H13,"Beklemede")</f>
        <v/>
      </c>
    </row>
    <row r="10" ht="22" customHeight="1">
      <c r="A10" s="16" t="n">
        <v>6</v>
      </c>
      <c r="B10" s="17" t="inlineStr">
        <is>
          <t>W06 - Misafir Checkout</t>
        </is>
      </c>
      <c r="C10" s="18" t="inlineStr">
        <is>
          <t>W06 — Misafir Checkout Akışı (E-posta OTP)</t>
        </is>
      </c>
      <c r="D10" s="16" t="n">
        <v>8</v>
      </c>
      <c r="E10" s="16">
        <f>COUNTIF('W06 - Misafir Checkout'!H4:H11,"Geçti")</f>
        <v/>
      </c>
      <c r="F10" s="16">
        <f>COUNTIF('W06 - Misafir Checkout'!H4:H11,"Kaldı")</f>
        <v/>
      </c>
      <c r="G10" s="16">
        <f>COUNTIF('W06 - Misafir Checkout'!H4:H11,"Bloke")</f>
        <v/>
      </c>
      <c r="H10" s="16">
        <f>COUNTIF('W06 - Misafir Checkout'!H4:H11,"Yapılamadı")</f>
        <v/>
      </c>
      <c r="I10" s="16">
        <f>COUNTIF('W06 - Misafir Checkout'!H4:H11,"N/A")</f>
        <v/>
      </c>
      <c r="J10" s="16">
        <f>COUNTIF('W06 - Misafir Checkout'!H4:H11,"Beklemede")</f>
        <v/>
      </c>
    </row>
    <row r="11" ht="22" customHeight="1">
      <c r="A11" s="14" t="n">
        <v>7</v>
      </c>
      <c r="B11" s="15" t="inlineStr">
        <is>
          <t>W07 - Üye Checkout</t>
        </is>
      </c>
      <c r="C11" s="6" t="inlineStr">
        <is>
          <t>W07 — Üye Checkout Akışı</t>
        </is>
      </c>
      <c r="D11" s="14" t="n">
        <v>7</v>
      </c>
      <c r="E11" s="14">
        <f>COUNTIF('W07 - Üye Checkout'!H4:H10,"Geçti")</f>
        <v/>
      </c>
      <c r="F11" s="14">
        <f>COUNTIF('W07 - Üye Checkout'!H4:H10,"Kaldı")</f>
        <v/>
      </c>
      <c r="G11" s="14">
        <f>COUNTIF('W07 - Üye Checkout'!H4:H10,"Bloke")</f>
        <v/>
      </c>
      <c r="H11" s="14">
        <f>COUNTIF('W07 - Üye Checkout'!H4:H10,"Yapılamadı")</f>
        <v/>
      </c>
      <c r="I11" s="14">
        <f>COUNTIF('W07 - Üye Checkout'!H4:H10,"N/A")</f>
        <v/>
      </c>
      <c r="J11" s="14">
        <f>COUNTIF('W07 - Üye Checkout'!H4:H10,"Beklemede")</f>
        <v/>
      </c>
    </row>
    <row r="12" ht="22" customHeight="1">
      <c r="A12" s="16" t="n">
        <v>8</v>
      </c>
      <c r="B12" s="17" t="inlineStr">
        <is>
          <t>W08 - Ödeme PayTR</t>
        </is>
      </c>
      <c r="C12" s="18" t="inlineStr">
        <is>
          <t>W08 — PayTR Ödeme Akışı</t>
        </is>
      </c>
      <c r="D12" s="16" t="n">
        <v>8</v>
      </c>
      <c r="E12" s="16">
        <f>COUNTIF('W08 - Ödeme PayTR'!H4:H11,"Geçti")</f>
        <v/>
      </c>
      <c r="F12" s="16">
        <f>COUNTIF('W08 - Ödeme PayTR'!H4:H11,"Kaldı")</f>
        <v/>
      </c>
      <c r="G12" s="16">
        <f>COUNTIF('W08 - Ödeme PayTR'!H4:H11,"Bloke")</f>
        <v/>
      </c>
      <c r="H12" s="16">
        <f>COUNTIF('W08 - Ödeme PayTR'!H4:H11,"Yapılamadı")</f>
        <v/>
      </c>
      <c r="I12" s="16">
        <f>COUNTIF('W08 - Ödeme PayTR'!H4:H11,"N/A")</f>
        <v/>
      </c>
      <c r="J12" s="16">
        <f>COUNTIF('W08 - Ödeme PayTR'!H4:H11,"Beklemede")</f>
        <v/>
      </c>
    </row>
    <row r="13" ht="22" customHeight="1">
      <c r="A13" s="14" t="n">
        <v>9</v>
      </c>
      <c r="B13" s="15" t="inlineStr">
        <is>
          <t>W09 - Siparişlerim Listesi</t>
        </is>
      </c>
      <c r="C13" s="6" t="inlineStr">
        <is>
          <t>W09 — Siparişlerim (Alıcı) Listesi</t>
        </is>
      </c>
      <c r="D13" s="14" t="n">
        <v>6</v>
      </c>
      <c r="E13" s="14">
        <f>COUNTIF('W09 - Siparişlerim Listesi'!H4:H9,"Geçti")</f>
        <v/>
      </c>
      <c r="F13" s="14">
        <f>COUNTIF('W09 - Siparişlerim Listesi'!H4:H9,"Kaldı")</f>
        <v/>
      </c>
      <c r="G13" s="14">
        <f>COUNTIF('W09 - Siparişlerim Listesi'!H4:H9,"Bloke")</f>
        <v/>
      </c>
      <c r="H13" s="14">
        <f>COUNTIF('W09 - Siparişlerim Listesi'!H4:H9,"Yapılamadı")</f>
        <v/>
      </c>
      <c r="I13" s="14">
        <f>COUNTIF('W09 - Siparişlerim Listesi'!H4:H9,"N/A")</f>
        <v/>
      </c>
      <c r="J13" s="14">
        <f>COUNTIF('W09 - Siparişlerim Listesi'!H4:H9,"Beklemede")</f>
        <v/>
      </c>
    </row>
    <row r="14" ht="22" customHeight="1">
      <c r="A14" s="16" t="n">
        <v>10</v>
      </c>
      <c r="B14" s="17" t="inlineStr">
        <is>
          <t>W10 - Sipariş Detay &amp; Takip</t>
        </is>
      </c>
      <c r="C14" s="18" t="inlineStr">
        <is>
          <t>W10 — Sipariş Detayı, Kargo Takibi, Yorum</t>
        </is>
      </c>
      <c r="D14" s="16" t="n">
        <v>7</v>
      </c>
      <c r="E14" s="16">
        <f>COUNTIF('W10 - Sipariş Detay &amp; Takip'!H4:H10,"Geçti")</f>
        <v/>
      </c>
      <c r="F14" s="16">
        <f>COUNTIF('W10 - Sipariş Detay &amp; Takip'!H4:H10,"Kaldı")</f>
        <v/>
      </c>
      <c r="G14" s="16">
        <f>COUNTIF('W10 - Sipariş Detay &amp; Takip'!H4:H10,"Bloke")</f>
        <v/>
      </c>
      <c r="H14" s="16">
        <f>COUNTIF('W10 - Sipariş Detay &amp; Takip'!H4:H10,"Yapılamadı")</f>
        <v/>
      </c>
      <c r="I14" s="16">
        <f>COUNTIF('W10 - Sipariş Detay &amp; Takip'!H4:H10,"N/A")</f>
        <v/>
      </c>
      <c r="J14" s="16">
        <f>COUNTIF('W10 - Sipariş Detay &amp; Takip'!H4:H10,"Beklemede")</f>
        <v/>
      </c>
    </row>
    <row r="15" ht="22" customHeight="1">
      <c r="A15" s="14" t="n">
        <v>11</v>
      </c>
      <c r="B15" s="15" t="inlineStr">
        <is>
          <t>W11 - Sipariş İptal</t>
        </is>
      </c>
      <c r="C15" s="6" t="inlineStr">
        <is>
          <t>W11 — Sipariş İptal Akışı</t>
        </is>
      </c>
      <c r="D15" s="14" t="n">
        <v>6</v>
      </c>
      <c r="E15" s="14">
        <f>COUNTIF('W11 - Sipariş İptal'!H4:H9,"Geçti")</f>
        <v/>
      </c>
      <c r="F15" s="14">
        <f>COUNTIF('W11 - Sipariş İptal'!H4:H9,"Kaldı")</f>
        <v/>
      </c>
      <c r="G15" s="14">
        <f>COUNTIF('W11 - Sipariş İptal'!H4:H9,"Bloke")</f>
        <v/>
      </c>
      <c r="H15" s="14">
        <f>COUNTIF('W11 - Sipariş İptal'!H4:H9,"Yapılamadı")</f>
        <v/>
      </c>
      <c r="I15" s="14">
        <f>COUNTIF('W11 - Sipariş İptal'!H4:H9,"N/A")</f>
        <v/>
      </c>
      <c r="J15" s="14">
        <f>COUNTIF('W11 - Sipariş İptal'!H4:H9,"Beklemede")</f>
        <v/>
      </c>
    </row>
    <row r="16" ht="22" customHeight="1">
      <c r="A16" s="16" t="n">
        <v>12</v>
      </c>
      <c r="B16" s="17" t="inlineStr">
        <is>
          <t>W12 - İade Talebi</t>
        </is>
      </c>
      <c r="C16" s="18" t="inlineStr">
        <is>
          <t>W12 — İade ve Değişim Akışı</t>
        </is>
      </c>
      <c r="D16" s="16" t="n">
        <v>10</v>
      </c>
      <c r="E16" s="16">
        <f>COUNTIF('W12 - İade Talebi'!H4:H13,"Geçti")</f>
        <v/>
      </c>
      <c r="F16" s="16">
        <f>COUNTIF('W12 - İade Talebi'!H4:H13,"Kaldı")</f>
        <v/>
      </c>
      <c r="G16" s="16">
        <f>COUNTIF('W12 - İade Talebi'!H4:H13,"Bloke")</f>
        <v/>
      </c>
      <c r="H16" s="16">
        <f>COUNTIF('W12 - İade Talebi'!H4:H13,"Yapılamadı")</f>
        <v/>
      </c>
      <c r="I16" s="16">
        <f>COUNTIF('W12 - İade Talebi'!H4:H13,"N/A")</f>
        <v/>
      </c>
      <c r="J16" s="16">
        <f>COUNTIF('W12 - İade Talebi'!H4:H13,"Beklemede")</f>
        <v/>
      </c>
    </row>
    <row r="17" ht="22" customHeight="1">
      <c r="A17" s="14" t="n">
        <v>13</v>
      </c>
      <c r="B17" s="15" t="inlineStr">
        <is>
          <t>W13 - Profil &amp; Ayarlar</t>
        </is>
      </c>
      <c r="C17" s="6" t="inlineStr">
        <is>
          <t>W13 — Profil, Adres, Şifre, Ödeme Yöntemleri</t>
        </is>
      </c>
      <c r="D17" s="14" t="n">
        <v>12</v>
      </c>
      <c r="E17" s="14">
        <f>COUNTIF('W13 - Profil &amp; Ayarlar'!H4:H15,"Geçti")</f>
        <v/>
      </c>
      <c r="F17" s="14">
        <f>COUNTIF('W13 - Profil &amp; Ayarlar'!H4:H15,"Kaldı")</f>
        <v/>
      </c>
      <c r="G17" s="14">
        <f>COUNTIF('W13 - Profil &amp; Ayarlar'!H4:H15,"Bloke")</f>
        <v/>
      </c>
      <c r="H17" s="14">
        <f>COUNTIF('W13 - Profil &amp; Ayarlar'!H4:H15,"Yapılamadı")</f>
        <v/>
      </c>
      <c r="I17" s="14">
        <f>COUNTIF('W13 - Profil &amp; Ayarlar'!H4:H15,"N/A")</f>
        <v/>
      </c>
      <c r="J17" s="14">
        <f>COUNTIF('W13 - Profil &amp; Ayarlar'!H4:H15,"Beklemede")</f>
        <v/>
      </c>
    </row>
    <row r="18" ht="22" customHeight="1">
      <c r="A18" s="16" t="n">
        <v>14</v>
      </c>
      <c r="B18" s="17" t="inlineStr">
        <is>
          <t>W14 - Satıcı İlan Yönetimi</t>
        </is>
      </c>
      <c r="C18" s="18" t="inlineStr">
        <is>
          <t>W14 — Satıcı: İlan Oluşturma ve Yönetimi</t>
        </is>
      </c>
      <c r="D18" s="16" t="n">
        <v>9</v>
      </c>
      <c r="E18" s="16">
        <f>COUNTIF('W14 - Satıcı İlan Yönetimi'!H4:H12,"Geçti")</f>
        <v/>
      </c>
      <c r="F18" s="16">
        <f>COUNTIF('W14 - Satıcı İlan Yönetimi'!H4:H12,"Kaldı")</f>
        <v/>
      </c>
      <c r="G18" s="16">
        <f>COUNTIF('W14 - Satıcı İlan Yönetimi'!H4:H12,"Bloke")</f>
        <v/>
      </c>
      <c r="H18" s="16">
        <f>COUNTIF('W14 - Satıcı İlan Yönetimi'!H4:H12,"Yapılamadı")</f>
        <v/>
      </c>
      <c r="I18" s="16">
        <f>COUNTIF('W14 - Satıcı İlan Yönetimi'!H4:H12,"N/A")</f>
        <v/>
      </c>
      <c r="J18" s="16">
        <f>COUNTIF('W14 - Satıcı İlan Yönetimi'!H4:H12,"Beklemede")</f>
        <v/>
      </c>
    </row>
    <row r="19" ht="22" customHeight="1">
      <c r="A19" s="14" t="n">
        <v>15</v>
      </c>
      <c r="B19" s="15" t="inlineStr">
        <is>
          <t>W15 - Satıcı Sipariş Yönetimi</t>
        </is>
      </c>
      <c r="C19" s="6" t="inlineStr">
        <is>
          <t>W15 — Satıcı: Sipariş İşleme ve Kargolama</t>
        </is>
      </c>
      <c r="D19" s="14" t="n">
        <v>8</v>
      </c>
      <c r="E19" s="14">
        <f>COUNTIF('W15 - Satıcı Sipariş Yönetimi'!H4:H11,"Geçti")</f>
        <v/>
      </c>
      <c r="F19" s="14">
        <f>COUNTIF('W15 - Satıcı Sipariş Yönetimi'!H4:H11,"Kaldı")</f>
        <v/>
      </c>
      <c r="G19" s="14">
        <f>COUNTIF('W15 - Satıcı Sipariş Yönetimi'!H4:H11,"Bloke")</f>
        <v/>
      </c>
      <c r="H19" s="14">
        <f>COUNTIF('W15 - Satıcı Sipariş Yönetimi'!H4:H11,"Yapılamadı")</f>
        <v/>
      </c>
      <c r="I19" s="14">
        <f>COUNTIF('W15 - Satıcı Sipariş Yönetimi'!H4:H11,"N/A")</f>
        <v/>
      </c>
      <c r="J19" s="14">
        <f>COUNTIF('W15 - Satıcı Sipariş Yönetimi'!H4:H11,"Beklemede")</f>
        <v/>
      </c>
    </row>
    <row r="20" ht="22" customHeight="1">
      <c r="A20" s="16" t="n">
        <v>16</v>
      </c>
      <c r="B20" s="17" t="inlineStr">
        <is>
          <t>W16 - Teklifler</t>
        </is>
      </c>
      <c r="C20" s="18" t="inlineStr">
        <is>
          <t>W16 — Teklif (Offer) Akışı</t>
        </is>
      </c>
      <c r="D20" s="16" t="n">
        <v>9</v>
      </c>
      <c r="E20" s="16">
        <f>COUNTIF('W16 - Teklifler'!H4:H12,"Geçti")</f>
        <v/>
      </c>
      <c r="F20" s="16">
        <f>COUNTIF('W16 - Teklifler'!H4:H12,"Kaldı")</f>
        <v/>
      </c>
      <c r="G20" s="16">
        <f>COUNTIF('W16 - Teklifler'!H4:H12,"Bloke")</f>
        <v/>
      </c>
      <c r="H20" s="16">
        <f>COUNTIF('W16 - Teklifler'!H4:H12,"Yapılamadı")</f>
        <v/>
      </c>
      <c r="I20" s="16">
        <f>COUNTIF('W16 - Teklifler'!H4:H12,"N/A")</f>
        <v/>
      </c>
      <c r="J20" s="16">
        <f>COUNTIF('W16 - Teklifler'!H4:H12,"Beklemede")</f>
        <v/>
      </c>
    </row>
    <row r="21" ht="22" customHeight="1">
      <c r="A21" s="14" t="n">
        <v>17</v>
      </c>
      <c r="B21" s="15" t="inlineStr">
        <is>
          <t>W17 - Takas Trade</t>
        </is>
      </c>
      <c r="C21" s="6" t="inlineStr">
        <is>
          <t>W17 — Takas (Trade) Akışı</t>
        </is>
      </c>
      <c r="D21" s="14" t="n">
        <v>8</v>
      </c>
      <c r="E21" s="14">
        <f>COUNTIF('W17 - Takas Trade'!H4:H11,"Geçti")</f>
        <v/>
      </c>
      <c r="F21" s="14">
        <f>COUNTIF('W17 - Takas Trade'!H4:H11,"Kaldı")</f>
        <v/>
      </c>
      <c r="G21" s="14">
        <f>COUNTIF('W17 - Takas Trade'!H4:H11,"Bloke")</f>
        <v/>
      </c>
      <c r="H21" s="14">
        <f>COUNTIF('W17 - Takas Trade'!H4:H11,"Yapılamadı")</f>
        <v/>
      </c>
      <c r="I21" s="14">
        <f>COUNTIF('W17 - Takas Trade'!H4:H11,"N/A")</f>
        <v/>
      </c>
      <c r="J21" s="14">
        <f>COUNTIF('W17 - Takas Trade'!H4:H11,"Beklemede")</f>
        <v/>
      </c>
    </row>
    <row r="22" ht="22" customHeight="1">
      <c r="A22" s="16" t="n">
        <v>18</v>
      </c>
      <c r="B22" s="17" t="inlineStr">
        <is>
          <t>W18 - Mesajlar</t>
        </is>
      </c>
      <c r="C22" s="18" t="inlineStr">
        <is>
          <t>W18 — Mesajlaşma</t>
        </is>
      </c>
      <c r="D22" s="16" t="n">
        <v>9</v>
      </c>
      <c r="E22" s="16">
        <f>COUNTIF('W18 - Mesajlar'!H4:H12,"Geçti")</f>
        <v/>
      </c>
      <c r="F22" s="16">
        <f>COUNTIF('W18 - Mesajlar'!H4:H12,"Kaldı")</f>
        <v/>
      </c>
      <c r="G22" s="16">
        <f>COUNTIF('W18 - Mesajlar'!H4:H12,"Bloke")</f>
        <v/>
      </c>
      <c r="H22" s="16">
        <f>COUNTIF('W18 - Mesajlar'!H4:H12,"Yapılamadı")</f>
        <v/>
      </c>
      <c r="I22" s="16">
        <f>COUNTIF('W18 - Mesajlar'!H4:H12,"N/A")</f>
        <v/>
      </c>
      <c r="J22" s="16">
        <f>COUNTIF('W18 - Mesajlar'!H4:H12,"Beklemede")</f>
        <v/>
      </c>
    </row>
    <row r="23" ht="22" customHeight="1">
      <c r="A23" s="14" t="n">
        <v>19</v>
      </c>
      <c r="B23" s="15" t="inlineStr">
        <is>
          <t>W19 - Bildirimler</t>
        </is>
      </c>
      <c r="C23" s="6" t="inlineStr">
        <is>
          <t>W19 — Bildirim Merkezi</t>
        </is>
      </c>
      <c r="D23" s="14" t="n">
        <v>6</v>
      </c>
      <c r="E23" s="14">
        <f>COUNTIF('W19 - Bildirimler'!H4:H9,"Geçti")</f>
        <v/>
      </c>
      <c r="F23" s="14">
        <f>COUNTIF('W19 - Bildirimler'!H4:H9,"Kaldı")</f>
        <v/>
      </c>
      <c r="G23" s="14">
        <f>COUNTIF('W19 - Bildirimler'!H4:H9,"Bloke")</f>
        <v/>
      </c>
      <c r="H23" s="14">
        <f>COUNTIF('W19 - Bildirimler'!H4:H9,"Yapılamadı")</f>
        <v/>
      </c>
      <c r="I23" s="14">
        <f>COUNTIF('W19 - Bildirimler'!H4:H9,"N/A")</f>
        <v/>
      </c>
      <c r="J23" s="14">
        <f>COUNTIF('W19 - Bildirimler'!H4:H9,"Beklemede")</f>
        <v/>
      </c>
    </row>
    <row r="24" ht="22" customHeight="1">
      <c r="A24" s="16" t="n">
        <v>20</v>
      </c>
      <c r="B24" s="17" t="inlineStr">
        <is>
          <t>W20 - Favori Wishlist Koleksiyo</t>
        </is>
      </c>
      <c r="C24" s="18" t="inlineStr">
        <is>
          <t>W20 — Favoriler, Wishlist, Koleksiyonlar</t>
        </is>
      </c>
      <c r="D24" s="16" t="n">
        <v>8</v>
      </c>
      <c r="E24" s="16">
        <f>COUNTIF('W20 - Favori Wishlist Koleksiyo'!H4:H11,"Geçti")</f>
        <v/>
      </c>
      <c r="F24" s="16">
        <f>COUNTIF('W20 - Favori Wishlist Koleksiyo'!H4:H11,"Kaldı")</f>
        <v/>
      </c>
      <c r="G24" s="16">
        <f>COUNTIF('W20 - Favori Wishlist Koleksiyo'!H4:H11,"Bloke")</f>
        <v/>
      </c>
      <c r="H24" s="16">
        <f>COUNTIF('W20 - Favori Wishlist Koleksiyo'!H4:H11,"Yapılamadı")</f>
        <v/>
      </c>
      <c r="I24" s="16">
        <f>COUNTIF('W20 - Favori Wishlist Koleksiyo'!H4:H11,"N/A")</f>
        <v/>
      </c>
      <c r="J24" s="16">
        <f>COUNTIF('W20 - Favori Wishlist Koleksiyo'!H4:H11,"Beklemede")</f>
        <v/>
      </c>
    </row>
    <row r="25" ht="22" customHeight="1">
      <c r="A25" s="14" t="n">
        <v>21</v>
      </c>
      <c r="B25" s="15" t="inlineStr">
        <is>
          <t>W21 - Üyelik Membership</t>
        </is>
      </c>
      <c r="C25" s="6" t="inlineStr">
        <is>
          <t>W21 — Üyelik Planları</t>
        </is>
      </c>
      <c r="D25" s="14" t="n">
        <v>8</v>
      </c>
      <c r="E25" s="14">
        <f>COUNTIF('W21 - Üyelik Membership'!H4:H11,"Geçti")</f>
        <v/>
      </c>
      <c r="F25" s="14">
        <f>COUNTIF('W21 - Üyelik Membership'!H4:H11,"Kaldı")</f>
        <v/>
      </c>
      <c r="G25" s="14">
        <f>COUNTIF('W21 - Üyelik Membership'!H4:H11,"Bloke")</f>
        <v/>
      </c>
      <c r="H25" s="14">
        <f>COUNTIF('W21 - Üyelik Membership'!H4:H11,"Yapılamadı")</f>
        <v/>
      </c>
      <c r="I25" s="14">
        <f>COUNTIF('W21 - Üyelik Membership'!H4:H11,"N/A")</f>
        <v/>
      </c>
      <c r="J25" s="14">
        <f>COUNTIF('W21 - Üyelik Membership'!H4:H11,"Beklemede")</f>
        <v/>
      </c>
    </row>
    <row r="26" ht="22" customHeight="1">
      <c r="A26" s="16" t="n">
        <v>22</v>
      </c>
      <c r="B26" s="17" t="inlineStr">
        <is>
          <t>W22 - Statik &amp; Yasal</t>
        </is>
      </c>
      <c r="C26" s="18" t="inlineStr">
        <is>
          <t>W22 — Statik ve Yasal Sayfalar</t>
        </is>
      </c>
      <c r="D26" s="16" t="n">
        <v>10</v>
      </c>
      <c r="E26" s="16">
        <f>COUNTIF('W22 - Statik &amp; Yasal'!H4:H13,"Geçti")</f>
        <v/>
      </c>
      <c r="F26" s="16">
        <f>COUNTIF('W22 - Statik &amp; Yasal'!H4:H13,"Kaldı")</f>
        <v/>
      </c>
      <c r="G26" s="16">
        <f>COUNTIF('W22 - Statik &amp; Yasal'!H4:H13,"Bloke")</f>
        <v/>
      </c>
      <c r="H26" s="16">
        <f>COUNTIF('W22 - Statik &amp; Yasal'!H4:H13,"Yapılamadı")</f>
        <v/>
      </c>
      <c r="I26" s="16">
        <f>COUNTIF('W22 - Statik &amp; Yasal'!H4:H13,"N/A")</f>
        <v/>
      </c>
      <c r="J26" s="16">
        <f>COUNTIF('W22 - Statik &amp; Yasal'!H4:H13,"Beklemede")</f>
        <v/>
      </c>
    </row>
    <row r="27" ht="22" customHeight="1">
      <c r="A27" s="14" t="n">
        <v>23</v>
      </c>
      <c r="B27" s="15" t="inlineStr">
        <is>
          <t>W23 - Mobil &amp; Responsive</t>
        </is>
      </c>
      <c r="C27" s="6" t="inlineStr">
        <is>
          <t>W23 — Mobil Görünüm ve Responsive</t>
        </is>
      </c>
      <c r="D27" s="14" t="n">
        <v>6</v>
      </c>
      <c r="E27" s="14">
        <f>COUNTIF('W23 - Mobil &amp; Responsive'!H4:H9,"Geçti")</f>
        <v/>
      </c>
      <c r="F27" s="14">
        <f>COUNTIF('W23 - Mobil &amp; Responsive'!H4:H9,"Kaldı")</f>
        <v/>
      </c>
      <c r="G27" s="14">
        <f>COUNTIF('W23 - Mobil &amp; Responsive'!H4:H9,"Bloke")</f>
        <v/>
      </c>
      <c r="H27" s="14">
        <f>COUNTIF('W23 - Mobil &amp; Responsive'!H4:H9,"Yapılamadı")</f>
        <v/>
      </c>
      <c r="I27" s="14">
        <f>COUNTIF('W23 - Mobil &amp; Responsive'!H4:H9,"N/A")</f>
        <v/>
      </c>
      <c r="J27" s="14">
        <f>COUNTIF('W23 - Mobil &amp; Responsive'!H4:H9,"Beklemede")</f>
        <v/>
      </c>
    </row>
    <row r="28" ht="22" customHeight="1">
      <c r="A28" s="16" t="n">
        <v>24</v>
      </c>
      <c r="B28" s="17" t="inlineStr">
        <is>
          <t>A01 - Admin Login &amp; Yetki</t>
        </is>
      </c>
      <c r="C28" s="18" t="inlineStr">
        <is>
          <t>A01 — Admin Girişi ve Yetkilendirme</t>
        </is>
      </c>
      <c r="D28" s="16" t="n">
        <v>7</v>
      </c>
      <c r="E28" s="16">
        <f>COUNTIF('A01 - Admin Login &amp; Yetki'!H4:H10,"Geçti")</f>
        <v/>
      </c>
      <c r="F28" s="16">
        <f>COUNTIF('A01 - Admin Login &amp; Yetki'!H4:H10,"Kaldı")</f>
        <v/>
      </c>
      <c r="G28" s="16">
        <f>COUNTIF('A01 - Admin Login &amp; Yetki'!H4:H10,"Bloke")</f>
        <v/>
      </c>
      <c r="H28" s="16">
        <f>COUNTIF('A01 - Admin Login &amp; Yetki'!H4:H10,"Yapılamadı")</f>
        <v/>
      </c>
      <c r="I28" s="16">
        <f>COUNTIF('A01 - Admin Login &amp; Yetki'!H4:H10,"N/A")</f>
        <v/>
      </c>
      <c r="J28" s="16">
        <f>COUNTIF('A01 - Admin Login &amp; Yetki'!H4:H10,"Beklemede")</f>
        <v/>
      </c>
    </row>
    <row r="29" ht="22" customHeight="1">
      <c r="A29" s="14" t="n">
        <v>25</v>
      </c>
      <c r="B29" s="15" t="inlineStr">
        <is>
          <t>A02 - Dashboard &amp; Analitik</t>
        </is>
      </c>
      <c r="C29" s="6" t="inlineStr">
        <is>
          <t>A02 — Dashboard, Analytics, Raporlar</t>
        </is>
      </c>
      <c r="D29" s="14" t="n">
        <v>5</v>
      </c>
      <c r="E29" s="14">
        <f>COUNTIF('A02 - Dashboard &amp; Analitik'!H4:H8,"Geçti")</f>
        <v/>
      </c>
      <c r="F29" s="14">
        <f>COUNTIF('A02 - Dashboard &amp; Analitik'!H4:H8,"Kaldı")</f>
        <v/>
      </c>
      <c r="G29" s="14">
        <f>COUNTIF('A02 - Dashboard &amp; Analitik'!H4:H8,"Bloke")</f>
        <v/>
      </c>
      <c r="H29" s="14">
        <f>COUNTIF('A02 - Dashboard &amp; Analitik'!H4:H8,"Yapılamadı")</f>
        <v/>
      </c>
      <c r="I29" s="14">
        <f>COUNTIF('A02 - Dashboard &amp; Analitik'!H4:H8,"N/A")</f>
        <v/>
      </c>
      <c r="J29" s="14">
        <f>COUNTIF('A02 - Dashboard &amp; Analitik'!H4:H8,"Beklemede")</f>
        <v/>
      </c>
    </row>
    <row r="30" ht="22" customHeight="1">
      <c r="A30" s="16" t="n">
        <v>26</v>
      </c>
      <c r="B30" s="17" t="inlineStr">
        <is>
          <t>A03 - Ürün Yönetimi</t>
        </is>
      </c>
      <c r="C30" s="18" t="inlineStr">
        <is>
          <t>A03 — Ürün Listesi, Detay, Onay, Yorum</t>
        </is>
      </c>
      <c r="D30" s="16" t="n">
        <v>10</v>
      </c>
      <c r="E30" s="16">
        <f>COUNTIF('A03 - Ürün Yönetimi'!H4:H13,"Geçti")</f>
        <v/>
      </c>
      <c r="F30" s="16">
        <f>COUNTIF('A03 - Ürün Yönetimi'!H4:H13,"Kaldı")</f>
        <v/>
      </c>
      <c r="G30" s="16">
        <f>COUNTIF('A03 - Ürün Yönetimi'!H4:H13,"Bloke")</f>
        <v/>
      </c>
      <c r="H30" s="16">
        <f>COUNTIF('A03 - Ürün Yönetimi'!H4:H13,"Yapılamadı")</f>
        <v/>
      </c>
      <c r="I30" s="16">
        <f>COUNTIF('A03 - Ürün Yönetimi'!H4:H13,"N/A")</f>
        <v/>
      </c>
      <c r="J30" s="16">
        <f>COUNTIF('A03 - Ürün Yönetimi'!H4:H13,"Beklemede")</f>
        <v/>
      </c>
    </row>
    <row r="31" ht="22" customHeight="1">
      <c r="A31" s="14" t="n">
        <v>27</v>
      </c>
      <c r="B31" s="15" t="inlineStr">
        <is>
          <t>A04 - Katalog Master</t>
        </is>
      </c>
      <c r="C31" s="6" t="inlineStr">
        <is>
          <t>A04 — Kategori, Marka, Attribute, Tag, Üretici, Model</t>
        </is>
      </c>
      <c r="D31" s="14" t="n">
        <v>8</v>
      </c>
      <c r="E31" s="14">
        <f>COUNTIF('A04 - Katalog Master'!H4:H11,"Geçti")</f>
        <v/>
      </c>
      <c r="F31" s="14">
        <f>COUNTIF('A04 - Katalog Master'!H4:H11,"Kaldı")</f>
        <v/>
      </c>
      <c r="G31" s="14">
        <f>COUNTIF('A04 - Katalog Master'!H4:H11,"Bloke")</f>
        <v/>
      </c>
      <c r="H31" s="14">
        <f>COUNTIF('A04 - Katalog Master'!H4:H11,"Yapılamadı")</f>
        <v/>
      </c>
      <c r="I31" s="14">
        <f>COUNTIF('A04 - Katalog Master'!H4:H11,"N/A")</f>
        <v/>
      </c>
      <c r="J31" s="14">
        <f>COUNTIF('A04 - Katalog Master'!H4:H11,"Beklemede")</f>
        <v/>
      </c>
    </row>
    <row r="32" ht="22" customHeight="1">
      <c r="A32" s="16" t="n">
        <v>28</v>
      </c>
      <c r="B32" s="17" t="inlineStr">
        <is>
          <t>A05 - Sipariş Yönetimi</t>
        </is>
      </c>
      <c r="C32" s="18" t="inlineStr">
        <is>
          <t>A05 — Admin: Sipariş Listesi ve İşlemler</t>
        </is>
      </c>
      <c r="D32" s="16" t="n">
        <v>8</v>
      </c>
      <c r="E32" s="16">
        <f>COUNTIF('A05 - Sipariş Yönetimi'!H4:H11,"Geçti")</f>
        <v/>
      </c>
      <c r="F32" s="16">
        <f>COUNTIF('A05 - Sipariş Yönetimi'!H4:H11,"Kaldı")</f>
        <v/>
      </c>
      <c r="G32" s="16">
        <f>COUNTIF('A05 - Sipariş Yönetimi'!H4:H11,"Bloke")</f>
        <v/>
      </c>
      <c r="H32" s="16">
        <f>COUNTIF('A05 - Sipariş Yönetimi'!H4:H11,"Yapılamadı")</f>
        <v/>
      </c>
      <c r="I32" s="16">
        <f>COUNTIF('A05 - Sipariş Yönetimi'!H4:H11,"N/A")</f>
        <v/>
      </c>
      <c r="J32" s="16">
        <f>COUNTIF('A05 - Sipariş Yönetimi'!H4:H11,"Beklemede")</f>
        <v/>
      </c>
    </row>
    <row r="33" ht="22" customHeight="1">
      <c r="A33" s="14" t="n">
        <v>29</v>
      </c>
      <c r="B33" s="15" t="inlineStr">
        <is>
          <t>A06 - Ödeme &amp; İade &amp; Payout</t>
        </is>
      </c>
      <c r="C33" s="6" t="inlineStr">
        <is>
          <t>A06 — Admin: Ödeme, İade, Payout Yönetimi</t>
        </is>
      </c>
      <c r="D33" s="14" t="n">
        <v>9</v>
      </c>
      <c r="E33" s="14">
        <f>COUNTIF('A06 - Ödeme &amp; İade &amp; Payout'!H4:H12,"Geçti")</f>
        <v/>
      </c>
      <c r="F33" s="14">
        <f>COUNTIF('A06 - Ödeme &amp; İade &amp; Payout'!H4:H12,"Kaldı")</f>
        <v/>
      </c>
      <c r="G33" s="14">
        <f>COUNTIF('A06 - Ödeme &amp; İade &amp; Payout'!H4:H12,"Bloke")</f>
        <v/>
      </c>
      <c r="H33" s="14">
        <f>COUNTIF('A06 - Ödeme &amp; İade &amp; Payout'!H4:H12,"Yapılamadı")</f>
        <v/>
      </c>
      <c r="I33" s="14">
        <f>COUNTIF('A06 - Ödeme &amp; İade &amp; Payout'!H4:H12,"N/A")</f>
        <v/>
      </c>
      <c r="J33" s="14">
        <f>COUNTIF('A06 - Ödeme &amp; İade &amp; Payout'!H4:H12,"Beklemede")</f>
        <v/>
      </c>
    </row>
    <row r="34" ht="22" customHeight="1">
      <c r="A34" s="16" t="n">
        <v>30</v>
      </c>
      <c r="B34" s="17" t="inlineStr">
        <is>
          <t>A07 - Komisyon Vergi Kargo</t>
        </is>
      </c>
      <c r="C34" s="18" t="inlineStr">
        <is>
          <t>A07 — Komisyon, Vergi, Kargo Ayarları</t>
        </is>
      </c>
      <c r="D34" s="16" t="n">
        <v>5</v>
      </c>
      <c r="E34" s="16">
        <f>COUNTIF('A07 - Komisyon Vergi Kargo'!H4:H8,"Geçti")</f>
        <v/>
      </c>
      <c r="F34" s="16">
        <f>COUNTIF('A07 - Komisyon Vergi Kargo'!H4:H8,"Kaldı")</f>
        <v/>
      </c>
      <c r="G34" s="16">
        <f>COUNTIF('A07 - Komisyon Vergi Kargo'!H4:H8,"Bloke")</f>
        <v/>
      </c>
      <c r="H34" s="16">
        <f>COUNTIF('A07 - Komisyon Vergi Kargo'!H4:H8,"Yapılamadı")</f>
        <v/>
      </c>
      <c r="I34" s="16">
        <f>COUNTIF('A07 - Komisyon Vergi Kargo'!H4:H8,"N/A")</f>
        <v/>
      </c>
      <c r="J34" s="16">
        <f>COUNTIF('A07 - Komisyon Vergi Kargo'!H4:H8,"Beklemede")</f>
        <v/>
      </c>
    </row>
    <row r="35" ht="22" customHeight="1">
      <c r="A35" s="14" t="n">
        <v>31</v>
      </c>
      <c r="B35" s="15" t="inlineStr">
        <is>
          <t>A08 - Kullanıcı Yönetimi</t>
        </is>
      </c>
      <c r="C35" s="6" t="inlineStr">
        <is>
          <t>A08 — Kullanıcı Listesi ve Detayı</t>
        </is>
      </c>
      <c r="D35" s="14" t="n">
        <v>7</v>
      </c>
      <c r="E35" s="14">
        <f>COUNTIF('A08 - Kullanıcı Yönetimi'!H4:H10,"Geçti")</f>
        <v/>
      </c>
      <c r="F35" s="14">
        <f>COUNTIF('A08 - Kullanıcı Yönetimi'!H4:H10,"Kaldı")</f>
        <v/>
      </c>
      <c r="G35" s="14">
        <f>COUNTIF('A08 - Kullanıcı Yönetimi'!H4:H10,"Bloke")</f>
        <v/>
      </c>
      <c r="H35" s="14">
        <f>COUNTIF('A08 - Kullanıcı Yönetimi'!H4:H10,"Yapılamadı")</f>
        <v/>
      </c>
      <c r="I35" s="14">
        <f>COUNTIF('A08 - Kullanıcı Yönetimi'!H4:H10,"N/A")</f>
        <v/>
      </c>
      <c r="J35" s="14">
        <f>COUNTIF('A08 - Kullanıcı Yönetimi'!H4:H10,"Beklemede")</f>
        <v/>
      </c>
    </row>
    <row r="36" ht="22" customHeight="1">
      <c r="A36" s="16" t="n">
        <v>32</v>
      </c>
      <c r="B36" s="17" t="inlineStr">
        <is>
          <t>A09 - Satıcı Başvuru &amp; Performa</t>
        </is>
      </c>
      <c r="C36" s="18" t="inlineStr">
        <is>
          <t>A09 — Satıcı Başvuruları ve Performans</t>
        </is>
      </c>
      <c r="D36" s="16" t="n">
        <v>6</v>
      </c>
      <c r="E36" s="16">
        <f>COUNTIF('A09 - Satıcı Başvuru &amp; Performa'!H4:H9,"Geçti")</f>
        <v/>
      </c>
      <c r="F36" s="16">
        <f>COUNTIF('A09 - Satıcı Başvuru &amp; Performa'!H4:H9,"Kaldı")</f>
        <v/>
      </c>
      <c r="G36" s="16">
        <f>COUNTIF('A09 - Satıcı Başvuru &amp; Performa'!H4:H9,"Bloke")</f>
        <v/>
      </c>
      <c r="H36" s="16">
        <f>COUNTIF('A09 - Satıcı Başvuru &amp; Performa'!H4:H9,"Yapılamadı")</f>
        <v/>
      </c>
      <c r="I36" s="16">
        <f>COUNTIF('A09 - Satıcı Başvuru &amp; Performa'!H4:H9,"N/A")</f>
        <v/>
      </c>
      <c r="J36" s="16">
        <f>COUNTIF('A09 - Satıcı Başvuru &amp; Performa'!H4:H9,"Beklemede")</f>
        <v/>
      </c>
    </row>
    <row r="37" ht="22" customHeight="1">
      <c r="A37" s="14" t="n">
        <v>33</v>
      </c>
      <c r="B37" s="15" t="inlineStr">
        <is>
          <t>A10 - Üyelik Tier Yönetimi</t>
        </is>
      </c>
      <c r="C37" s="6" t="inlineStr">
        <is>
          <t>A10 — Membership Tier Yönetimi</t>
        </is>
      </c>
      <c r="D37" s="14" t="n">
        <v>4</v>
      </c>
      <c r="E37" s="14">
        <f>COUNTIF('A10 - Üyelik Tier Yönetimi'!H4:H7,"Geçti")</f>
        <v/>
      </c>
      <c r="F37" s="14">
        <f>COUNTIF('A10 - Üyelik Tier Yönetimi'!H4:H7,"Kaldı")</f>
        <v/>
      </c>
      <c r="G37" s="14">
        <f>COUNTIF('A10 - Üyelik Tier Yönetimi'!H4:H7,"Bloke")</f>
        <v/>
      </c>
      <c r="H37" s="14">
        <f>COUNTIF('A10 - Üyelik Tier Yönetimi'!H4:H7,"Yapılamadı")</f>
        <v/>
      </c>
      <c r="I37" s="14">
        <f>COUNTIF('A10 - Üyelik Tier Yönetimi'!H4:H7,"N/A")</f>
        <v/>
      </c>
      <c r="J37" s="14">
        <f>COUNTIF('A10 - Üyelik Tier Yönetimi'!H4:H7,"Beklemede")</f>
        <v/>
      </c>
    </row>
    <row r="38" ht="22" customHeight="1">
      <c r="A38" s="16" t="n">
        <v>34</v>
      </c>
      <c r="B38" s="17" t="inlineStr">
        <is>
          <t>A11 - İndirim &amp; Kupon</t>
        </is>
      </c>
      <c r="C38" s="18" t="inlineStr">
        <is>
          <t>A11 — Discount / Coupon Yönetimi</t>
        </is>
      </c>
      <c r="D38" s="16" t="n">
        <v>9</v>
      </c>
      <c r="E38" s="16">
        <f>COUNTIF('A11 - İndirim &amp; Kupon'!H4:H12,"Geçti")</f>
        <v/>
      </c>
      <c r="F38" s="16">
        <f>COUNTIF('A11 - İndirim &amp; Kupon'!H4:H12,"Kaldı")</f>
        <v/>
      </c>
      <c r="G38" s="16">
        <f>COUNTIF('A11 - İndirim &amp; Kupon'!H4:H12,"Bloke")</f>
        <v/>
      </c>
      <c r="H38" s="16">
        <f>COUNTIF('A11 - İndirim &amp; Kupon'!H4:H12,"Yapılamadı")</f>
        <v/>
      </c>
      <c r="I38" s="16">
        <f>COUNTIF('A11 - İndirim &amp; Kupon'!H4:H12,"N/A")</f>
        <v/>
      </c>
      <c r="J38" s="16">
        <f>COUNTIF('A11 - İndirim &amp; Kupon'!H4:H12,"Beklemede")</f>
        <v/>
      </c>
    </row>
    <row r="39" ht="22" customHeight="1">
      <c r="A39" s="14" t="n">
        <v>35</v>
      </c>
      <c r="B39" s="15" t="inlineStr">
        <is>
          <t>A12 - Email Şablonları</t>
        </is>
      </c>
      <c r="C39" s="6" t="inlineStr">
        <is>
          <t>A12 — E-posta Şablon Yönetimi</t>
        </is>
      </c>
      <c r="D39" s="14" t="n">
        <v>5</v>
      </c>
      <c r="E39" s="14">
        <f>COUNTIF('A12 - Email Şablonları'!H4:H8,"Geçti")</f>
        <v/>
      </c>
      <c r="F39" s="14">
        <f>COUNTIF('A12 - Email Şablonları'!H4:H8,"Kaldı")</f>
        <v/>
      </c>
      <c r="G39" s="14">
        <f>COUNTIF('A12 - Email Şablonları'!H4:H8,"Bloke")</f>
        <v/>
      </c>
      <c r="H39" s="14">
        <f>COUNTIF('A12 - Email Şablonları'!H4:H8,"Yapılamadı")</f>
        <v/>
      </c>
      <c r="I39" s="14">
        <f>COUNTIF('A12 - Email Şablonları'!H4:H8,"N/A")</f>
        <v/>
      </c>
      <c r="J39" s="14">
        <f>COUNTIF('A12 - Email Şablonları'!H4:H8,"Beklemede")</f>
        <v/>
      </c>
    </row>
    <row r="40" ht="22" customHeight="1">
      <c r="A40" s="16" t="n">
        <v>36</v>
      </c>
      <c r="B40" s="17" t="inlineStr">
        <is>
          <t>A13 - Yorum &amp; Moderasyon</t>
        </is>
      </c>
      <c r="C40" s="18" t="inlineStr">
        <is>
          <t>A13 — Yorum ve Moderasyon Kuyruğu</t>
        </is>
      </c>
      <c r="D40" s="16" t="n">
        <v>5</v>
      </c>
      <c r="E40" s="16">
        <f>COUNTIF('A13 - Yorum &amp; Moderasyon'!H4:H8,"Geçti")</f>
        <v/>
      </c>
      <c r="F40" s="16">
        <f>COUNTIF('A13 - Yorum &amp; Moderasyon'!H4:H8,"Kaldı")</f>
        <v/>
      </c>
      <c r="G40" s="16">
        <f>COUNTIF('A13 - Yorum &amp; Moderasyon'!H4:H8,"Bloke")</f>
        <v/>
      </c>
      <c r="H40" s="16">
        <f>COUNTIF('A13 - Yorum &amp; Moderasyon'!H4:H8,"Yapılamadı")</f>
        <v/>
      </c>
      <c r="I40" s="16">
        <f>COUNTIF('A13 - Yorum &amp; Moderasyon'!H4:H8,"N/A")</f>
        <v/>
      </c>
      <c r="J40" s="16">
        <f>COUNTIF('A13 - Yorum &amp; Moderasyon'!H4:H8,"Beklemede")</f>
        <v/>
      </c>
    </row>
    <row r="41" ht="22" customHeight="1">
      <c r="A41" s="14" t="n">
        <v>37</v>
      </c>
      <c r="B41" s="15" t="inlineStr">
        <is>
          <t>A14 - Reklamlar</t>
        </is>
      </c>
      <c r="C41" s="6" t="inlineStr">
        <is>
          <t>A14 — Reklam ve Sponsorlu İçerik</t>
        </is>
      </c>
      <c r="D41" s="14" t="n">
        <v>4</v>
      </c>
      <c r="E41" s="14">
        <f>COUNTIF('A14 - Reklamlar'!H4:H7,"Geçti")</f>
        <v/>
      </c>
      <c r="F41" s="14">
        <f>COUNTIF('A14 - Reklamlar'!H4:H7,"Kaldı")</f>
        <v/>
      </c>
      <c r="G41" s="14">
        <f>COUNTIF('A14 - Reklamlar'!H4:H7,"Bloke")</f>
        <v/>
      </c>
      <c r="H41" s="14">
        <f>COUNTIF('A14 - Reklamlar'!H4:H7,"Yapılamadı")</f>
        <v/>
      </c>
      <c r="I41" s="14">
        <f>COUNTIF('A14 - Reklamlar'!H4:H7,"N/A")</f>
        <v/>
      </c>
      <c r="J41" s="14">
        <f>COUNTIF('A14 - Reklamlar'!H4:H7,"Beklemede")</f>
        <v/>
      </c>
    </row>
    <row r="42" ht="22" customHeight="1">
      <c r="A42" s="16" t="n">
        <v>38</v>
      </c>
      <c r="B42" s="17" t="inlineStr">
        <is>
          <t>A15 - Takas Yönetimi</t>
        </is>
      </c>
      <c r="C42" s="18" t="inlineStr">
        <is>
          <t>A15 — Admin: Takas (Trade) Yönetimi</t>
        </is>
      </c>
      <c r="D42" s="16" t="n">
        <v>6</v>
      </c>
      <c r="E42" s="16">
        <f>COUNTIF('A15 - Takas Yönetimi'!H4:H9,"Geçti")</f>
        <v/>
      </c>
      <c r="F42" s="16">
        <f>COUNTIF('A15 - Takas Yönetimi'!H4:H9,"Kaldı")</f>
        <v/>
      </c>
      <c r="G42" s="16">
        <f>COUNTIF('A15 - Takas Yönetimi'!H4:H9,"Bloke")</f>
        <v/>
      </c>
      <c r="H42" s="16">
        <f>COUNTIF('A15 - Takas Yönetimi'!H4:H9,"Yapılamadı")</f>
        <v/>
      </c>
      <c r="I42" s="16">
        <f>COUNTIF('A15 - Takas Yönetimi'!H4:H9,"N/A")</f>
        <v/>
      </c>
      <c r="J42" s="16">
        <f>COUNTIF('A15 - Takas Yönetimi'!H4:H9,"Beklemede")</f>
        <v/>
      </c>
    </row>
    <row r="43" ht="22" customHeight="1">
      <c r="A43" s="14" t="n">
        <v>39</v>
      </c>
      <c r="B43" s="15" t="inlineStr">
        <is>
          <t>A16 - Destek (Support)</t>
        </is>
      </c>
      <c r="C43" s="6" t="inlineStr">
        <is>
          <t>A16 — Destek Talepleri</t>
        </is>
      </c>
      <c r="D43" s="14" t="n">
        <v>6</v>
      </c>
      <c r="E43" s="14">
        <f>COUNTIF('A16 - Destek (Support)'!H4:H9,"Geçti")</f>
        <v/>
      </c>
      <c r="F43" s="14">
        <f>COUNTIF('A16 - Destek (Support)'!H4:H9,"Kaldı")</f>
        <v/>
      </c>
      <c r="G43" s="14">
        <f>COUNTIF('A16 - Destek (Support)'!H4:H9,"Bloke")</f>
        <v/>
      </c>
      <c r="H43" s="14">
        <f>COUNTIF('A16 - Destek (Support)'!H4:H9,"Yapılamadı")</f>
        <v/>
      </c>
      <c r="I43" s="14">
        <f>COUNTIF('A16 - Destek (Support)'!H4:H9,"N/A")</f>
        <v/>
      </c>
      <c r="J43" s="14">
        <f>COUNTIF('A16 - Destek (Support)'!H4:H9,"Beklemede")</f>
        <v/>
      </c>
    </row>
    <row r="44" ht="22" customHeight="1">
      <c r="A44" s="16" t="n">
        <v>40</v>
      </c>
      <c r="B44" s="17" t="inlineStr">
        <is>
          <t>A17 - Roller &amp; İzinler</t>
        </is>
      </c>
      <c r="C44" s="18" t="inlineStr">
        <is>
          <t>A17 — Rol ve İzin Yönetimi</t>
        </is>
      </c>
      <c r="D44" s="16" t="n">
        <v>6</v>
      </c>
      <c r="E44" s="16">
        <f>COUNTIF('A17 - Roller &amp; İzinler'!H4:H9,"Geçti")</f>
        <v/>
      </c>
      <c r="F44" s="16">
        <f>COUNTIF('A17 - Roller &amp; İzinler'!H4:H9,"Kaldı")</f>
        <v/>
      </c>
      <c r="G44" s="16">
        <f>COUNTIF('A17 - Roller &amp; İzinler'!H4:H9,"Bloke")</f>
        <v/>
      </c>
      <c r="H44" s="16">
        <f>COUNTIF('A17 - Roller &amp; İzinler'!H4:H9,"Yapılamadı")</f>
        <v/>
      </c>
      <c r="I44" s="16">
        <f>COUNTIF('A17 - Roller &amp; İzinler'!H4:H9,"N/A")</f>
        <v/>
      </c>
      <c r="J44" s="16">
        <f>COUNTIF('A17 - Roller &amp; İzinler'!H4:H9,"Beklemede")</f>
        <v/>
      </c>
    </row>
    <row r="45" ht="22" customHeight="1">
      <c r="A45" s="14" t="n">
        <v>41</v>
      </c>
      <c r="B45" s="15" t="inlineStr">
        <is>
          <t>A18 - Platform Ayarları</t>
        </is>
      </c>
      <c r="C45" s="6" t="inlineStr">
        <is>
          <t>A18 — Genel Ayarlar, İlan, Takas, Mesaj, Üyelik, Ödeme</t>
        </is>
      </c>
      <c r="D45" s="14" t="n">
        <v>7</v>
      </c>
      <c r="E45" s="14">
        <f>COUNTIF('A18 - Platform Ayarları'!H4:H10,"Geçti")</f>
        <v/>
      </c>
      <c r="F45" s="14">
        <f>COUNTIF('A18 - Platform Ayarları'!H4:H10,"Kaldı")</f>
        <v/>
      </c>
      <c r="G45" s="14">
        <f>COUNTIF('A18 - Platform Ayarları'!H4:H10,"Bloke")</f>
        <v/>
      </c>
      <c r="H45" s="14">
        <f>COUNTIF('A18 - Platform Ayarları'!H4:H10,"Yapılamadı")</f>
        <v/>
      </c>
      <c r="I45" s="14">
        <f>COUNTIF('A18 - Platform Ayarları'!H4:H10,"N/A")</f>
        <v/>
      </c>
      <c r="J45" s="14">
        <f>COUNTIF('A18 - Platform Ayarları'!H4:H10,"Beklemede")</f>
        <v/>
      </c>
    </row>
    <row r="46" ht="22" customHeight="1">
      <c r="A46" s="16" t="n">
        <v>42</v>
      </c>
      <c r="B46" s="17" t="inlineStr">
        <is>
          <t>A19 - Audit &amp; Sistem Logları</t>
        </is>
      </c>
      <c r="C46" s="18" t="inlineStr">
        <is>
          <t>A19 — Audit ve Sistem Logları</t>
        </is>
      </c>
      <c r="D46" s="16" t="n">
        <v>4</v>
      </c>
      <c r="E46" s="16">
        <f>COUNTIF('A19 - Audit &amp; Sistem Logları'!H4:H7,"Geçti")</f>
        <v/>
      </c>
      <c r="F46" s="16">
        <f>COUNTIF('A19 - Audit &amp; Sistem Logları'!H4:H7,"Kaldı")</f>
        <v/>
      </c>
      <c r="G46" s="16">
        <f>COUNTIF('A19 - Audit &amp; Sistem Logları'!H4:H7,"Bloke")</f>
        <v/>
      </c>
      <c r="H46" s="16">
        <f>COUNTIF('A19 - Audit &amp; Sistem Logları'!H4:H7,"Yapılamadı")</f>
        <v/>
      </c>
      <c r="I46" s="16">
        <f>COUNTIF('A19 - Audit &amp; Sistem Logları'!H4:H7,"N/A")</f>
        <v/>
      </c>
      <c r="J46" s="16">
        <f>COUNTIF('A19 - Audit &amp; Sistem Logları'!H4:H7,"Beklemede")</f>
        <v/>
      </c>
    </row>
    <row r="47" ht="22" customHeight="1">
      <c r="A47" s="14" t="n">
        <v>43</v>
      </c>
      <c r="B47" s="15" t="inlineStr">
        <is>
          <t>E01 - E2E Misafir Satın Al</t>
        </is>
      </c>
      <c r="C47" s="6" t="inlineStr">
        <is>
          <t>E01 — Uçtan Uca: Misafir Satın Alma → Teslimat</t>
        </is>
      </c>
      <c r="D47" s="14" t="n">
        <v>13</v>
      </c>
      <c r="E47" s="14">
        <f>COUNTIF('E01 - E2E Misafir Satın Al'!H4:H16,"Geçti")</f>
        <v/>
      </c>
      <c r="F47" s="14">
        <f>COUNTIF('E01 - E2E Misafir Satın Al'!H4:H16,"Kaldı")</f>
        <v/>
      </c>
      <c r="G47" s="14">
        <f>COUNTIF('E01 - E2E Misafir Satın Al'!H4:H16,"Bloke")</f>
        <v/>
      </c>
      <c r="H47" s="14">
        <f>COUNTIF('E01 - E2E Misafir Satın Al'!H4:H16,"Yapılamadı")</f>
        <v/>
      </c>
      <c r="I47" s="14">
        <f>COUNTIF('E01 - E2E Misafir Satın Al'!H4:H16,"N/A")</f>
        <v/>
      </c>
      <c r="J47" s="14">
        <f>COUNTIF('E01 - E2E Misafir Satın Al'!H4:H16,"Beklemede")</f>
        <v/>
      </c>
    </row>
    <row r="48" ht="22" customHeight="1">
      <c r="A48" s="16" t="n">
        <v>44</v>
      </c>
      <c r="B48" s="17" t="inlineStr">
        <is>
          <t>E02 - E2E Üye İade</t>
        </is>
      </c>
      <c r="C48" s="18" t="inlineStr">
        <is>
          <t>E02 — Uçtan Uca: Üye Satın Alma → İade</t>
        </is>
      </c>
      <c r="D48" s="16" t="n">
        <v>9</v>
      </c>
      <c r="E48" s="16">
        <f>COUNTIF('E02 - E2E Üye İade'!H4:H12,"Geçti")</f>
        <v/>
      </c>
      <c r="F48" s="16">
        <f>COUNTIF('E02 - E2E Üye İade'!H4:H12,"Kaldı")</f>
        <v/>
      </c>
      <c r="G48" s="16">
        <f>COUNTIF('E02 - E2E Üye İade'!H4:H12,"Bloke")</f>
        <v/>
      </c>
      <c r="H48" s="16">
        <f>COUNTIF('E02 - E2E Üye İade'!H4:H12,"Yapılamadı")</f>
        <v/>
      </c>
      <c r="I48" s="16">
        <f>COUNTIF('E02 - E2E Üye İade'!H4:H12,"N/A")</f>
        <v/>
      </c>
      <c r="J48" s="16">
        <f>COUNTIF('E02 - E2E Üye İade'!H4:H12,"Beklemede")</f>
        <v/>
      </c>
    </row>
    <row r="49" ht="22" customHeight="1">
      <c r="A49" s="14" t="n">
        <v>45</v>
      </c>
      <c r="B49" s="15" t="inlineStr">
        <is>
          <t>E03 - E2E Kargolanmadan İptal</t>
        </is>
      </c>
      <c r="C49" s="6" t="inlineStr">
        <is>
          <t>E03 — Uçtan Uca: Sipariş Kargolanmadan İptal</t>
        </is>
      </c>
      <c r="D49" s="14" t="n">
        <v>5</v>
      </c>
      <c r="E49" s="14">
        <f>COUNTIF('E03 - E2E Kargolanmadan İptal'!H4:H8,"Geçti")</f>
        <v/>
      </c>
      <c r="F49" s="14">
        <f>COUNTIF('E03 - E2E Kargolanmadan İptal'!H4:H8,"Kaldı")</f>
        <v/>
      </c>
      <c r="G49" s="14">
        <f>COUNTIF('E03 - E2E Kargolanmadan İptal'!H4:H8,"Bloke")</f>
        <v/>
      </c>
      <c r="H49" s="14">
        <f>COUNTIF('E03 - E2E Kargolanmadan İptal'!H4:H8,"Yapılamadı")</f>
        <v/>
      </c>
      <c r="I49" s="14">
        <f>COUNTIF('E03 - E2E Kargolanmadan İptal'!H4:H8,"N/A")</f>
        <v/>
      </c>
      <c r="J49" s="14">
        <f>COUNTIF('E03 - E2E Kargolanmadan İptal'!H4:H8,"Beklemede")</f>
        <v/>
      </c>
    </row>
    <row r="50" ht="22" customHeight="1">
      <c r="A50" s="16" t="n">
        <v>46</v>
      </c>
      <c r="B50" s="17" t="inlineStr">
        <is>
          <t>E04 - E2E Satıcı Yolculuğu</t>
        </is>
      </c>
      <c r="C50" s="18" t="inlineStr">
        <is>
          <t>E04 — Uçtan Uca: Satıcı: İlan → Sipariş → Kargo → Payout</t>
        </is>
      </c>
      <c r="D50" s="16" t="n">
        <v>9</v>
      </c>
      <c r="E50" s="16">
        <f>COUNTIF('E04 - E2E Satıcı Yolculuğu'!H4:H12,"Geçti")</f>
        <v/>
      </c>
      <c r="F50" s="16">
        <f>COUNTIF('E04 - E2E Satıcı Yolculuğu'!H4:H12,"Kaldı")</f>
        <v/>
      </c>
      <c r="G50" s="16">
        <f>COUNTIF('E04 - E2E Satıcı Yolculuğu'!H4:H12,"Bloke")</f>
        <v/>
      </c>
      <c r="H50" s="16">
        <f>COUNTIF('E04 - E2E Satıcı Yolculuğu'!H4:H12,"Yapılamadı")</f>
        <v/>
      </c>
      <c r="I50" s="16">
        <f>COUNTIF('E04 - E2E Satıcı Yolculuğu'!H4:H12,"N/A")</f>
        <v/>
      </c>
      <c r="J50" s="16">
        <f>COUNTIF('E04 - E2E Satıcı Yolculuğu'!H4:H12,"Beklemede")</f>
        <v/>
      </c>
    </row>
    <row r="51" ht="22" customHeight="1">
      <c r="A51" s="14" t="n">
        <v>47</v>
      </c>
      <c r="B51" s="15" t="inlineStr">
        <is>
          <t>E05 - E2E Teklif Akışı</t>
        </is>
      </c>
      <c r="C51" s="6" t="inlineStr">
        <is>
          <t>E05 — Uçtan Uca: Teklif → Karşı Teklif → Kabul → Ödeme</t>
        </is>
      </c>
      <c r="D51" s="14" t="n">
        <v>5</v>
      </c>
      <c r="E51" s="14">
        <f>COUNTIF('E05 - E2E Teklif Akışı'!H4:H8,"Geçti")</f>
        <v/>
      </c>
      <c r="F51" s="14">
        <f>COUNTIF('E05 - E2E Teklif Akışı'!H4:H8,"Kaldı")</f>
        <v/>
      </c>
      <c r="G51" s="14">
        <f>COUNTIF('E05 - E2E Teklif Akışı'!H4:H8,"Bloke")</f>
        <v/>
      </c>
      <c r="H51" s="14">
        <f>COUNTIF('E05 - E2E Teklif Akışı'!H4:H8,"Yapılamadı")</f>
        <v/>
      </c>
      <c r="I51" s="14">
        <f>COUNTIF('E05 - E2E Teklif Akışı'!H4:H8,"N/A")</f>
        <v/>
      </c>
      <c r="J51" s="14">
        <f>COUNTIF('E05 - E2E Teklif Akışı'!H4:H8,"Beklemede")</f>
        <v/>
      </c>
    </row>
    <row r="52" ht="22" customHeight="1">
      <c r="A52" s="16" t="n">
        <v>48</v>
      </c>
      <c r="B52" s="17" t="inlineStr">
        <is>
          <t>E06 - E2E Takas</t>
        </is>
      </c>
      <c r="C52" s="18" t="inlineStr">
        <is>
          <t>E06 — Uçtan Uca: Takas (Trade) Tam Akışı</t>
        </is>
      </c>
      <c r="D52" s="16" t="n">
        <v>6</v>
      </c>
      <c r="E52" s="16">
        <f>COUNTIF('E06 - E2E Takas'!H4:H9,"Geçti")</f>
        <v/>
      </c>
      <c r="F52" s="16">
        <f>COUNTIF('E06 - E2E Takas'!H4:H9,"Kaldı")</f>
        <v/>
      </c>
      <c r="G52" s="16">
        <f>COUNTIF('E06 - E2E Takas'!H4:H9,"Bloke")</f>
        <v/>
      </c>
      <c r="H52" s="16">
        <f>COUNTIF('E06 - E2E Takas'!H4:H9,"Yapılamadı")</f>
        <v/>
      </c>
      <c r="I52" s="16">
        <f>COUNTIF('E06 - E2E Takas'!H4:H9,"N/A")</f>
        <v/>
      </c>
      <c r="J52" s="16">
        <f>COUNTIF('E06 - E2E Takas'!H4:H9,"Beklemede")</f>
        <v/>
      </c>
    </row>
    <row r="53" ht="22" customHeight="1">
      <c r="A53" s="14" t="n">
        <v>49</v>
      </c>
      <c r="B53" s="15" t="inlineStr">
        <is>
          <t>E07 - E2E Üyelik</t>
        </is>
      </c>
      <c r="C53" s="6" t="inlineStr">
        <is>
          <t>E07 — Uçtan Uca: Üyelik Satın Al → Yenile → İptal</t>
        </is>
      </c>
      <c r="D53" s="14" t="n">
        <v>7</v>
      </c>
      <c r="E53" s="14">
        <f>COUNTIF('E07 - E2E Üyelik'!H4:H10,"Geçti")</f>
        <v/>
      </c>
      <c r="F53" s="14">
        <f>COUNTIF('E07 - E2E Üyelik'!H4:H10,"Kaldı")</f>
        <v/>
      </c>
      <c r="G53" s="14">
        <f>COUNTIF('E07 - E2E Üyelik'!H4:H10,"Bloke")</f>
        <v/>
      </c>
      <c r="H53" s="14">
        <f>COUNTIF('E07 - E2E Üyelik'!H4:H10,"Yapılamadı")</f>
        <v/>
      </c>
      <c r="I53" s="14">
        <f>COUNTIF('E07 - E2E Üyelik'!H4:H10,"N/A")</f>
        <v/>
      </c>
      <c r="J53" s="14">
        <f>COUNTIF('E07 - E2E Üyelik'!H4:H10,"Beklemede")</f>
        <v/>
      </c>
    </row>
    <row r="54" ht="22" customHeight="1">
      <c r="A54" s="16" t="n">
        <v>50</v>
      </c>
      <c r="B54" s="17" t="inlineStr">
        <is>
          <t>E08 - E2E Şifre Sıfırlama</t>
        </is>
      </c>
      <c r="C54" s="18" t="inlineStr">
        <is>
          <t>E08 — Uçtan Uca: Şifre Unuttum → Sıfırla → Giriş</t>
        </is>
      </c>
      <c r="D54" s="16" t="n">
        <v>5</v>
      </c>
      <c r="E54" s="16">
        <f>COUNTIF('E08 - E2E Şifre Sıfırlama'!H4:H8,"Geçti")</f>
        <v/>
      </c>
      <c r="F54" s="16">
        <f>COUNTIF('E08 - E2E Şifre Sıfırlama'!H4:H8,"Kaldı")</f>
        <v/>
      </c>
      <c r="G54" s="16">
        <f>COUNTIF('E08 - E2E Şifre Sıfırlama'!H4:H8,"Bloke")</f>
        <v/>
      </c>
      <c r="H54" s="16">
        <f>COUNTIF('E08 - E2E Şifre Sıfırlama'!H4:H8,"Yapılamadı")</f>
        <v/>
      </c>
      <c r="I54" s="16">
        <f>COUNTIF('E08 - E2E Şifre Sıfırlama'!H4:H8,"N/A")</f>
        <v/>
      </c>
      <c r="J54" s="16">
        <f>COUNTIF('E08 - E2E Şifre Sıfırlama'!H4:H8,"Beklemede")</f>
        <v/>
      </c>
    </row>
    <row r="55" ht="22" customHeight="1">
      <c r="A55" s="14" t="n">
        <v>51</v>
      </c>
      <c r="B55" s="15" t="inlineStr">
        <is>
          <t>E09 - E2E Stok Yarış</t>
        </is>
      </c>
      <c r="C55" s="6" t="inlineStr">
        <is>
          <t>E09 — Uçtan Uca: Stok Race Condition Testi</t>
        </is>
      </c>
      <c r="D55" s="14" t="n">
        <v>4</v>
      </c>
      <c r="E55" s="14">
        <f>COUNTIF('E09 - E2E Stok Yarış'!H4:H7,"Geçti")</f>
        <v/>
      </c>
      <c r="F55" s="14">
        <f>COUNTIF('E09 - E2E Stok Yarış'!H4:H7,"Kaldı")</f>
        <v/>
      </c>
      <c r="G55" s="14">
        <f>COUNTIF('E09 - E2E Stok Yarış'!H4:H7,"Bloke")</f>
        <v/>
      </c>
      <c r="H55" s="14">
        <f>COUNTIF('E09 - E2E Stok Yarış'!H4:H7,"Yapılamadı")</f>
        <v/>
      </c>
      <c r="I55" s="14">
        <f>COUNTIF('E09 - E2E Stok Yarış'!H4:H7,"N/A")</f>
        <v/>
      </c>
      <c r="J55" s="14">
        <f>COUNTIF('E09 - E2E Stok Yarış'!H4:H7,"Beklemede")</f>
        <v/>
      </c>
    </row>
    <row r="56" ht="22" customHeight="1">
      <c r="A56" s="16" t="n">
        <v>52</v>
      </c>
      <c r="B56" s="17" t="inlineStr">
        <is>
          <t>E10 - E2E Bildirim Akışı</t>
        </is>
      </c>
      <c r="C56" s="18" t="inlineStr">
        <is>
          <t>E10 — Uçtan Uca: Tüm Bildirim Kanalları Doğrulama</t>
        </is>
      </c>
      <c r="D56" s="16" t="n">
        <v>8</v>
      </c>
      <c r="E56" s="16">
        <f>COUNTIF('E10 - E2E Bildirim Akışı'!H4:H11,"Geçti")</f>
        <v/>
      </c>
      <c r="F56" s="16">
        <f>COUNTIF('E10 - E2E Bildirim Akışı'!H4:H11,"Kaldı")</f>
        <v/>
      </c>
      <c r="G56" s="16">
        <f>COUNTIF('E10 - E2E Bildirim Akışı'!H4:H11,"Bloke")</f>
        <v/>
      </c>
      <c r="H56" s="16">
        <f>COUNTIF('E10 - E2E Bildirim Akışı'!H4:H11,"Yapılamadı")</f>
        <v/>
      </c>
      <c r="I56" s="16">
        <f>COUNTIF('E10 - E2E Bildirim Akışı'!H4:H11,"N/A")</f>
        <v/>
      </c>
      <c r="J56" s="16">
        <f>COUNTIF('E10 - E2E Bildirim Akışı'!H4:H11,"Beklemede")</f>
        <v/>
      </c>
    </row>
    <row r="57" ht="22" customHeight="1">
      <c r="A57" s="14" t="n">
        <v>53</v>
      </c>
      <c r="B57" s="15" t="inlineStr">
        <is>
          <t>C01 - Mail Bildirim Listesi</t>
        </is>
      </c>
      <c r="C57" s="6" t="inlineStr">
        <is>
          <t>C01 — Tüm Mail Bildirimleri Matrisi</t>
        </is>
      </c>
      <c r="D57" s="14" t="n">
        <v>28</v>
      </c>
      <c r="E57" s="14">
        <f>COUNTIF('C01 - Mail Bildirim Listesi'!H4:H31,"Geçti")</f>
        <v/>
      </c>
      <c r="F57" s="14">
        <f>COUNTIF('C01 - Mail Bildirim Listesi'!H4:H31,"Kaldı")</f>
        <v/>
      </c>
      <c r="G57" s="14">
        <f>COUNTIF('C01 - Mail Bildirim Listesi'!H4:H31,"Bloke")</f>
        <v/>
      </c>
      <c r="H57" s="14">
        <f>COUNTIF('C01 - Mail Bildirim Listesi'!H4:H31,"Yapılamadı")</f>
        <v/>
      </c>
      <c r="I57" s="14">
        <f>COUNTIF('C01 - Mail Bildirim Listesi'!H4:H31,"N/A")</f>
        <v/>
      </c>
      <c r="J57" s="14">
        <f>COUNTIF('C01 - Mail Bildirim Listesi'!H4:H31,"Beklemede")</f>
        <v/>
      </c>
    </row>
    <row r="58" ht="22" customHeight="1">
      <c r="A58" s="16" t="n">
        <v>54</v>
      </c>
      <c r="B58" s="17" t="inlineStr">
        <is>
          <t>C02 - Push InApp Bildirim</t>
        </is>
      </c>
      <c r="C58" s="18" t="inlineStr">
        <is>
          <t>C02 — Push ve In-App Bildirim Doğrulamaları</t>
        </is>
      </c>
      <c r="D58" s="16" t="n">
        <v>5</v>
      </c>
      <c r="E58" s="16">
        <f>COUNTIF('C02 - Push InApp Bildirim'!H4:H8,"Geçti")</f>
        <v/>
      </c>
      <c r="F58" s="16">
        <f>COUNTIF('C02 - Push InApp Bildirim'!H4:H8,"Kaldı")</f>
        <v/>
      </c>
      <c r="G58" s="16">
        <f>COUNTIF('C02 - Push InApp Bildirim'!H4:H8,"Bloke")</f>
        <v/>
      </c>
      <c r="H58" s="16">
        <f>COUNTIF('C02 - Push InApp Bildirim'!H4:H8,"Yapılamadı")</f>
        <v/>
      </c>
      <c r="I58" s="16">
        <f>COUNTIF('C02 - Push InApp Bildirim'!H4:H8,"N/A")</f>
        <v/>
      </c>
      <c r="J58" s="16">
        <f>COUNTIF('C02 - Push InApp Bildirim'!H4:H8,"Beklemede")</f>
        <v/>
      </c>
    </row>
    <row r="59" ht="22" customHeight="1">
      <c r="A59" s="14" t="n">
        <v>55</v>
      </c>
      <c r="B59" s="15" t="inlineStr">
        <is>
          <t>C03 - Cron Otomatik İşler</t>
        </is>
      </c>
      <c r="C59" s="6" t="inlineStr">
        <is>
          <t>C03 — Cron / Scheduled Job Doğrulamaları</t>
        </is>
      </c>
      <c r="D59" s="14" t="n">
        <v>14</v>
      </c>
      <c r="E59" s="14">
        <f>COUNTIF('C03 - Cron Otomatik İşler'!H4:H17,"Geçti")</f>
        <v/>
      </c>
      <c r="F59" s="14">
        <f>COUNTIF('C03 - Cron Otomatik İşler'!H4:H17,"Kaldı")</f>
        <v/>
      </c>
      <c r="G59" s="14">
        <f>COUNTIF('C03 - Cron Otomatik İşler'!H4:H17,"Bloke")</f>
        <v/>
      </c>
      <c r="H59" s="14">
        <f>COUNTIF('C03 - Cron Otomatik İşler'!H4:H17,"Yapılamadı")</f>
        <v/>
      </c>
      <c r="I59" s="14">
        <f>COUNTIF('C03 - Cron Otomatik İşler'!H4:H17,"N/A")</f>
        <v/>
      </c>
      <c r="J59" s="14">
        <f>COUNTIF('C03 - Cron Otomatik İşler'!H4:H17,"Beklemede")</f>
        <v/>
      </c>
    </row>
    <row r="60" ht="22" customHeight="1">
      <c r="A60" s="16" t="n">
        <v>56</v>
      </c>
      <c r="B60" s="17" t="inlineStr">
        <is>
          <t>C04 - Edge Cases</t>
        </is>
      </c>
      <c r="C60" s="18" t="inlineStr">
        <is>
          <t>C04 — Edge Cases ve Hata Senaryoları</t>
        </is>
      </c>
      <c r="D60" s="16" t="n">
        <v>13</v>
      </c>
      <c r="E60" s="16">
        <f>COUNTIF('C04 - Edge Cases'!H4:H16,"Geçti")</f>
        <v/>
      </c>
      <c r="F60" s="16">
        <f>COUNTIF('C04 - Edge Cases'!H4:H16,"Kaldı")</f>
        <v/>
      </c>
      <c r="G60" s="16">
        <f>COUNTIF('C04 - Edge Cases'!H4:H16,"Bloke")</f>
        <v/>
      </c>
      <c r="H60" s="16">
        <f>COUNTIF('C04 - Edge Cases'!H4:H16,"Yapılamadı")</f>
        <v/>
      </c>
      <c r="I60" s="16">
        <f>COUNTIF('C04 - Edge Cases'!H4:H16,"N/A")</f>
        <v/>
      </c>
      <c r="J60" s="16">
        <f>COUNTIF('C04 - Edge Cases'!H4:H16,"Beklemede")</f>
        <v/>
      </c>
    </row>
    <row r="61" ht="22" customHeight="1">
      <c r="A61" s="14" t="n">
        <v>57</v>
      </c>
      <c r="B61" s="15" t="inlineStr">
        <is>
          <t>C05 - Performans Yük</t>
        </is>
      </c>
      <c r="C61" s="6" t="inlineStr">
        <is>
          <t>C05 — Performans ve Yük (Smoke)</t>
        </is>
      </c>
      <c r="D61" s="14" t="n">
        <v>5</v>
      </c>
      <c r="E61" s="14">
        <f>COUNTIF('C05 - Performans Yük'!H4:H8,"Geçti")</f>
        <v/>
      </c>
      <c r="F61" s="14">
        <f>COUNTIF('C05 - Performans Yük'!H4:H8,"Kaldı")</f>
        <v/>
      </c>
      <c r="G61" s="14">
        <f>COUNTIF('C05 - Performans Yük'!H4:H8,"Bloke")</f>
        <v/>
      </c>
      <c r="H61" s="14">
        <f>COUNTIF('C05 - Performans Yük'!H4:H8,"Yapılamadı")</f>
        <v/>
      </c>
      <c r="I61" s="14">
        <f>COUNTIF('C05 - Performans Yük'!H4:H8,"N/A")</f>
        <v/>
      </c>
      <c r="J61" s="14">
        <f>COUNTIF('C05 - Performans Yük'!H4:H8,"Beklemede")</f>
        <v/>
      </c>
    </row>
    <row r="62" ht="22" customHeight="1">
      <c r="A62" s="16" t="n">
        <v>58</v>
      </c>
      <c r="B62" s="17" t="inlineStr">
        <is>
          <t>C06 - Güvenlik</t>
        </is>
      </c>
      <c r="C62" s="18" t="inlineStr">
        <is>
          <t>C06 — Güvenlik ve Yetki Sınırları</t>
        </is>
      </c>
      <c r="D62" s="16" t="n">
        <v>10</v>
      </c>
      <c r="E62" s="16">
        <f>COUNTIF('C06 - Güvenlik'!H4:H13,"Geçti")</f>
        <v/>
      </c>
      <c r="F62" s="16">
        <f>COUNTIF('C06 - Güvenlik'!H4:H13,"Kaldı")</f>
        <v/>
      </c>
      <c r="G62" s="16">
        <f>COUNTIF('C06 - Güvenlik'!H4:H13,"Bloke")</f>
        <v/>
      </c>
      <c r="H62" s="16">
        <f>COUNTIF('C06 - Güvenlik'!H4:H13,"Yapılamadı")</f>
        <v/>
      </c>
      <c r="I62" s="16">
        <f>COUNTIF('C06 - Güvenlik'!H4:H13,"N/A")</f>
        <v/>
      </c>
      <c r="J62" s="16">
        <f>COUNTIF('C06 - Güvenlik'!H4:H13,"Beklemede")</f>
        <v/>
      </c>
    </row>
    <row r="63" ht="22" customHeight="1">
      <c r="A63" s="14" t="n">
        <v>59</v>
      </c>
      <c r="B63" s="15" t="inlineStr">
        <is>
          <t>C08 - Escrow Release Kuralları</t>
        </is>
      </c>
      <c r="C63" s="6" t="inlineStr">
        <is>
          <t>C08 — Escrow / Para Release Kuralları (KRİTİK)</t>
        </is>
      </c>
      <c r="D63" s="14" t="n">
        <v>18</v>
      </c>
      <c r="E63" s="14">
        <f>COUNTIF('C08 - Escrow Release Kuralları'!H4:H21,"Geçti")</f>
        <v/>
      </c>
      <c r="F63" s="14">
        <f>COUNTIF('C08 - Escrow Release Kuralları'!H4:H21,"Kaldı")</f>
        <v/>
      </c>
      <c r="G63" s="14">
        <f>COUNTIF('C08 - Escrow Release Kuralları'!H4:H21,"Bloke")</f>
        <v/>
      </c>
      <c r="H63" s="14">
        <f>COUNTIF('C08 - Escrow Release Kuralları'!H4:H21,"Yapılamadı")</f>
        <v/>
      </c>
      <c r="I63" s="14">
        <f>COUNTIF('C08 - Escrow Release Kuralları'!H4:H21,"N/A")</f>
        <v/>
      </c>
      <c r="J63" s="14">
        <f>COUNTIF('C08 - Escrow Release Kuralları'!H4:H21,"Beklemede")</f>
        <v/>
      </c>
    </row>
    <row r="64" ht="22" customHeight="1">
      <c r="A64" s="16" t="n">
        <v>60</v>
      </c>
      <c r="B64" s="17" t="inlineStr">
        <is>
          <t>C07 - Tarayıcı Cihaz Uyumu</t>
        </is>
      </c>
      <c r="C64" s="18" t="inlineStr">
        <is>
          <t>C07 — Tarayıcı ve Cihaz Uyum Matrisi</t>
        </is>
      </c>
      <c r="D64" s="16" t="n">
        <v>8</v>
      </c>
      <c r="E64" s="16">
        <f>COUNTIF('C07 - Tarayıcı Cihaz Uyumu'!H4:H11,"Geçti")</f>
        <v/>
      </c>
      <c r="F64" s="16">
        <f>COUNTIF('C07 - Tarayıcı Cihaz Uyumu'!H4:H11,"Kaldı")</f>
        <v/>
      </c>
      <c r="G64" s="16">
        <f>COUNTIF('C07 - Tarayıcı Cihaz Uyumu'!H4:H11,"Bloke")</f>
        <v/>
      </c>
      <c r="H64" s="16">
        <f>COUNTIF('C07 - Tarayıcı Cihaz Uyumu'!H4:H11,"Yapılamadı")</f>
        <v/>
      </c>
      <c r="I64" s="16">
        <f>COUNTIF('C07 - Tarayıcı Cihaz Uyumu'!H4:H11,"N/A")</f>
        <v/>
      </c>
      <c r="J64" s="16">
        <f>COUNTIF('C07 - Tarayıcı Cihaz Uyumu'!H4:H11,"Beklemede")</f>
        <v/>
      </c>
    </row>
    <row r="65" ht="28" customHeight="1">
      <c r="A65" s="19" t="n"/>
      <c r="B65" s="20" t="inlineStr">
        <is>
          <t>TOPLAM</t>
        </is>
      </c>
      <c r="C65" s="19" t="n"/>
      <c r="D65" s="20">
        <f>SUM(D5:D64)</f>
        <v/>
      </c>
      <c r="E65" s="20">
        <f>SUM(E5:E64)</f>
        <v/>
      </c>
      <c r="F65" s="20">
        <f>SUM(F5:F64)</f>
        <v/>
      </c>
      <c r="G65" s="20">
        <f>SUM(G5:G64)</f>
        <v/>
      </c>
      <c r="H65" s="20">
        <f>SUM(H5:H64)</f>
        <v/>
      </c>
      <c r="I65" s="20">
        <f>SUM(I5:I64)</f>
        <v/>
      </c>
      <c r="J65" s="20">
        <f>SUM(J5:J64)</f>
        <v/>
      </c>
    </row>
    <row r="68">
      <c r="B68" s="21" t="inlineStr">
        <is>
          <t>Toplam Senaryo</t>
        </is>
      </c>
      <c r="C68" s="15">
        <f>D65</f>
        <v/>
      </c>
    </row>
    <row r="69">
      <c r="B69" s="21" t="inlineStr">
        <is>
          <t>Geçti %</t>
        </is>
      </c>
      <c r="C69" s="22">
        <f>E65/D65</f>
        <v/>
      </c>
    </row>
    <row r="70">
      <c r="B70" s="21" t="inlineStr">
        <is>
          <t>Kaldı %</t>
        </is>
      </c>
      <c r="C70" s="22">
        <f>F65/D65</f>
        <v/>
      </c>
    </row>
    <row r="71">
      <c r="B71" s="21" t="inlineStr">
        <is>
          <t>Beklemede %</t>
        </is>
      </c>
      <c r="C71" s="22">
        <f>J65/D65</f>
        <v/>
      </c>
    </row>
    <row r="72">
      <c r="B72" s="21" t="inlineStr">
        <is>
          <t>Tamamlanma %</t>
        </is>
      </c>
      <c r="C72" s="22">
        <f>(D65-J65)/D65</f>
        <v/>
      </c>
    </row>
    <row r="77" ht="30" customHeight="1">
      <c r="B77" s="8" t="inlineStr">
        <is>
          <t>MÜŞTERİ ONAYI</t>
        </is>
      </c>
    </row>
    <row r="78">
      <c r="B78" s="9" t="inlineStr">
        <is>
          <t>Yukarıdaki sheet bazlı test sonuçlarını ve detaylı senaryoları inceledim. Tarodan platformunun (web ve admin) belirtilen tüm fonksiyonları sözleşmeye uygun şekilde teslim edilmiştir.</t>
        </is>
      </c>
    </row>
    <row r="79"/>
    <row r="81">
      <c r="B81" s="10" t="inlineStr">
        <is>
          <t>Tarodan — Proje Sorumlusu</t>
        </is>
      </c>
      <c r="G81" s="10" t="inlineStr">
        <is>
          <t>Müşteri — Yetkili</t>
        </is>
      </c>
    </row>
    <row r="82" ht="24" customHeight="1">
      <c r="B82" s="11" t="inlineStr">
        <is>
          <t>Ad Soyad</t>
        </is>
      </c>
      <c r="C82" s="7" t="n"/>
      <c r="D82" s="7" t="n"/>
      <c r="E82" s="7" t="n"/>
      <c r="G82" s="11" t="inlineStr">
        <is>
          <t>Ad Soyad</t>
        </is>
      </c>
      <c r="H82" s="7" t="n"/>
      <c r="I82" s="7" t="n"/>
      <c r="J82" s="7" t="n"/>
    </row>
    <row r="83" ht="24" customHeight="1">
      <c r="B83" s="11" t="inlineStr">
        <is>
          <t>Tarih</t>
        </is>
      </c>
      <c r="C83" s="7" t="n"/>
      <c r="D83" s="7" t="n"/>
      <c r="E83" s="7" t="n"/>
      <c r="G83" s="11" t="inlineStr">
        <is>
          <t>Tarih</t>
        </is>
      </c>
      <c r="H83" s="7" t="n"/>
      <c r="I83" s="7" t="n"/>
      <c r="J83" s="7" t="n"/>
    </row>
    <row r="84" ht="24" customHeight="1">
      <c r="B84" s="11" t="inlineStr">
        <is>
          <t>İmza</t>
        </is>
      </c>
      <c r="C84" s="7" t="n"/>
      <c r="D84" s="7" t="n"/>
      <c r="E84" s="7" t="n"/>
      <c r="G84" s="11" t="inlineStr">
        <is>
          <t>İmza</t>
        </is>
      </c>
      <c r="H84" s="7" t="n"/>
      <c r="I84" s="7" t="n"/>
      <c r="J84" s="7" t="n"/>
    </row>
  </sheetData>
  <mergeCells count="11">
    <mergeCell ref="B78:J79"/>
    <mergeCell ref="A1:J2"/>
    <mergeCell ref="H84:J84"/>
    <mergeCell ref="H82:J82"/>
    <mergeCell ref="C84:E84"/>
    <mergeCell ref="G81:J81"/>
    <mergeCell ref="B81:E81"/>
    <mergeCell ref="C82:E82"/>
    <mergeCell ref="C83:E83"/>
    <mergeCell ref="B77:J77"/>
    <mergeCell ref="H83:J8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showGridLines="0" workbookViewId="0">
      <selection activeCell="A1" sqref="A1"/>
    </sheetView>
  </sheetViews>
  <sheetFormatPr baseColWidth="8" defaultRowHeight="15"/>
  <cols>
    <col width="14" customWidth="1" min="1" max="1"/>
    <col width="22" customWidth="1" min="2" max="2"/>
    <col width="70" customWidth="1" min="3" max="3"/>
    <col width="14" customWidth="1" min="4" max="4"/>
    <col width="14" customWidth="1" min="5" max="5"/>
    <col width="14" customWidth="1" min="6" max="6"/>
    <col width="14" customWidth="1" min="7" max="7"/>
    <col width="14" customWidth="1" min="8" max="8"/>
  </cols>
  <sheetData>
    <row r="1" ht="30" customHeight="1">
      <c r="A1" s="12" t="inlineStr">
        <is>
          <t>TEST PLANI KULLANIM YÖNERGELERİ</t>
        </is>
      </c>
    </row>
    <row r="2"/>
    <row r="4" ht="26" customHeight="1">
      <c r="B4" s="8" t="inlineStr">
        <is>
          <t>Belge Yapısı</t>
        </is>
      </c>
    </row>
    <row r="5" ht="30" customHeight="1">
      <c r="B5" s="23" t="inlineStr">
        <is>
          <t>00 - Kapak</t>
        </is>
      </c>
      <c r="C5" s="6" t="inlineStr">
        <is>
          <t>Proje bilgileri, doküman versiyonu ve resmi imza alanı.</t>
        </is>
      </c>
      <c r="D5" s="7" t="n"/>
      <c r="E5" s="7" t="n"/>
      <c r="F5" s="7" t="n"/>
      <c r="G5" s="7" t="n"/>
      <c r="H5" s="7" t="n"/>
    </row>
    <row r="6" ht="30" customHeight="1">
      <c r="B6" s="23" t="inlineStr">
        <is>
          <t>01 - Özet</t>
        </is>
      </c>
      <c r="C6" s="6" t="inlineStr">
        <is>
          <t>Tüm sheet'lerin sonuç dağılımı (otomatik formüllerle güncellenir).</t>
        </is>
      </c>
      <c r="D6" s="7" t="n"/>
      <c r="E6" s="7" t="n"/>
      <c r="F6" s="7" t="n"/>
      <c r="G6" s="7" t="n"/>
      <c r="H6" s="7" t="n"/>
    </row>
    <row r="7" ht="30" customHeight="1">
      <c r="B7" s="23" t="inlineStr">
        <is>
          <t>02 - Yönergeler</t>
        </is>
      </c>
      <c r="C7" s="6" t="inlineStr">
        <is>
          <t>Bu sayfa: kullanım, kolon açıklamaları, durum kodları.</t>
        </is>
      </c>
      <c r="D7" s="7" t="n"/>
      <c r="E7" s="7" t="n"/>
      <c r="F7" s="7" t="n"/>
      <c r="G7" s="7" t="n"/>
      <c r="H7" s="7" t="n"/>
    </row>
    <row r="8" ht="30" customHeight="1">
      <c r="B8" s="23" t="inlineStr">
        <is>
          <t>W## - Web</t>
        </is>
      </c>
      <c r="C8" s="6" t="inlineStr">
        <is>
          <t>Web platformu test sayfaları (kullanıcı tarafı).</t>
        </is>
      </c>
      <c r="D8" s="7" t="n"/>
      <c r="E8" s="7" t="n"/>
      <c r="F8" s="7" t="n"/>
      <c r="G8" s="7" t="n"/>
      <c r="H8" s="7" t="n"/>
    </row>
    <row r="9" ht="30" customHeight="1">
      <c r="B9" s="23" t="inlineStr">
        <is>
          <t>A## - Admin</t>
        </is>
      </c>
      <c r="C9" s="6" t="inlineStr">
        <is>
          <t>Admin paneli test sayfaları.</t>
        </is>
      </c>
      <c r="D9" s="7" t="n"/>
      <c r="E9" s="7" t="n"/>
      <c r="F9" s="7" t="n"/>
      <c r="G9" s="7" t="n"/>
      <c r="H9" s="7" t="n"/>
    </row>
    <row r="10" ht="30" customHeight="1">
      <c r="B10" s="23" t="inlineStr">
        <is>
          <t>E## - E2E</t>
        </is>
      </c>
      <c r="C10" s="6" t="inlineStr">
        <is>
          <t>Uçtan uca (end-to-end) iş akışı senaryoları.</t>
        </is>
      </c>
      <c r="D10" s="7" t="n"/>
      <c r="E10" s="7" t="n"/>
      <c r="F10" s="7" t="n"/>
      <c r="G10" s="7" t="n"/>
      <c r="H10" s="7" t="n"/>
    </row>
    <row r="11" ht="30" customHeight="1">
      <c r="B11" s="23" t="inlineStr">
        <is>
          <t>C## - Cross</t>
        </is>
      </c>
      <c r="C11" s="6" t="inlineStr">
        <is>
          <t>Mail bildirimleri, otomatik işler, edge case, güvenlik gibi yatay konular.</t>
        </is>
      </c>
      <c r="D11" s="7" t="n"/>
      <c r="E11" s="7" t="n"/>
      <c r="F11" s="7" t="n"/>
      <c r="G11" s="7" t="n"/>
      <c r="H11" s="7" t="n"/>
    </row>
    <row r="12" ht="30" customHeight="1">
      <c r="B12" s="23" t="inlineStr">
        <is>
          <t>ZZ - İmza</t>
        </is>
      </c>
      <c r="C12" s="6" t="inlineStr">
        <is>
          <t>Tüm sheet sonuçlarının özet imza ve kabul beyanı sayfası.</t>
        </is>
      </c>
      <c r="D12" s="7" t="n"/>
      <c r="E12" s="7" t="n"/>
      <c r="F12" s="7" t="n"/>
      <c r="G12" s="7" t="n"/>
      <c r="H12" s="7" t="n"/>
    </row>
    <row r="14" ht="26" customHeight="1">
      <c r="B14" s="8" t="inlineStr">
        <is>
          <t>Sütun Açıklamaları</t>
        </is>
      </c>
    </row>
    <row r="15" ht="30" customHeight="1">
      <c r="B15" s="23" t="inlineStr">
        <is>
          <t>Test ID</t>
        </is>
      </c>
      <c r="C15" s="6" t="inlineStr">
        <is>
          <t>Sheet bazlı tekil tanımlayıcı (örn. W01-005).</t>
        </is>
      </c>
      <c r="D15" s="7" t="n"/>
      <c r="E15" s="7" t="n"/>
      <c r="F15" s="7" t="n"/>
      <c r="G15" s="7" t="n"/>
      <c r="H15" s="7" t="n"/>
    </row>
    <row r="16" ht="30" customHeight="1">
      <c r="B16" s="23" t="inlineStr">
        <is>
          <t>Modül / Sayfa</t>
        </is>
      </c>
      <c r="C16" s="6" t="inlineStr">
        <is>
          <t>Senaryonun ait olduğu sayfa veya iş alanı.</t>
        </is>
      </c>
      <c r="D16" s="7" t="n"/>
      <c r="E16" s="7" t="n"/>
      <c r="F16" s="7" t="n"/>
      <c r="G16" s="7" t="n"/>
      <c r="H16" s="7" t="n"/>
    </row>
    <row r="17" ht="30" customHeight="1">
      <c r="B17" s="23" t="inlineStr">
        <is>
          <t>Senaryo / Test Adı</t>
        </is>
      </c>
      <c r="C17" s="6" t="inlineStr">
        <is>
          <t>Yapılacak testin başlığı (kısa).</t>
        </is>
      </c>
      <c r="D17" s="7" t="n"/>
      <c r="E17" s="7" t="n"/>
      <c r="F17" s="7" t="n"/>
      <c r="G17" s="7" t="n"/>
      <c r="H17" s="7" t="n"/>
    </row>
    <row r="18" ht="30" customHeight="1">
      <c r="B18" s="23" t="inlineStr">
        <is>
          <t>Önkoşullar</t>
        </is>
      </c>
      <c r="C18" s="6" t="inlineStr">
        <is>
          <t>Test başlamadan önce sağlanması gereken durum.</t>
        </is>
      </c>
      <c r="D18" s="7" t="n"/>
      <c r="E18" s="7" t="n"/>
      <c r="F18" s="7" t="n"/>
      <c r="G18" s="7" t="n"/>
      <c r="H18" s="7" t="n"/>
    </row>
    <row r="19" ht="30" customHeight="1">
      <c r="B19" s="23" t="inlineStr">
        <is>
          <t>Adımlar</t>
        </is>
      </c>
      <c r="C19" s="6" t="inlineStr">
        <is>
          <t>Test eden tarafından sırayla uygulanacak adımlar.</t>
        </is>
      </c>
      <c r="D19" s="7" t="n"/>
      <c r="E19" s="7" t="n"/>
      <c r="F19" s="7" t="n"/>
      <c r="G19" s="7" t="n"/>
      <c r="H19" s="7" t="n"/>
    </row>
    <row r="20" ht="30" customHeight="1">
      <c r="B20" s="23" t="inlineStr">
        <is>
          <t>Beklenen Sonuç</t>
        </is>
      </c>
      <c r="C20" s="6" t="inlineStr">
        <is>
          <t>Adımlar tamamlandığında olması gereken davranış.</t>
        </is>
      </c>
      <c r="D20" s="7" t="n"/>
      <c r="E20" s="7" t="n"/>
      <c r="F20" s="7" t="n"/>
      <c r="G20" s="7" t="n"/>
      <c r="H20" s="7" t="n"/>
    </row>
    <row r="21" ht="30" customHeight="1">
      <c r="B21" s="23" t="inlineStr">
        <is>
          <t>Gerçek Sonuç</t>
        </is>
      </c>
      <c r="C21" s="6" t="inlineStr">
        <is>
          <t>Test eden gözlemini buraya yazar.</t>
        </is>
      </c>
      <c r="D21" s="7" t="n"/>
      <c r="E21" s="7" t="n"/>
      <c r="F21" s="7" t="n"/>
      <c r="G21" s="7" t="n"/>
      <c r="H21" s="7" t="n"/>
    </row>
    <row r="22" ht="30" customHeight="1">
      <c r="B22" s="23" t="inlineStr">
        <is>
          <t>Durum</t>
        </is>
      </c>
      <c r="C22" s="6" t="inlineStr">
        <is>
          <t>Beklemede / Geçti / Kaldı / Bloke / Yapılamadı / N/A — dropdown.</t>
        </is>
      </c>
      <c r="D22" s="7" t="n"/>
      <c r="E22" s="7" t="n"/>
      <c r="F22" s="7" t="n"/>
      <c r="G22" s="7" t="n"/>
      <c r="H22" s="7" t="n"/>
    </row>
    <row r="23" ht="30" customHeight="1">
      <c r="B23" s="23" t="inlineStr">
        <is>
          <t>Test Eden</t>
        </is>
      </c>
      <c r="C23" s="6" t="inlineStr">
        <is>
          <t>Senaryoyu yürüten kişinin adı.</t>
        </is>
      </c>
      <c r="D23" s="7" t="n"/>
      <c r="E23" s="7" t="n"/>
      <c r="F23" s="7" t="n"/>
      <c r="G23" s="7" t="n"/>
      <c r="H23" s="7" t="n"/>
    </row>
    <row r="24" ht="30" customHeight="1">
      <c r="B24" s="23" t="inlineStr">
        <is>
          <t>Test Tarihi</t>
        </is>
      </c>
      <c r="C24" s="6" t="inlineStr">
        <is>
          <t>Senaryonun çalıştırıldığı tarih (gg.aa.yyyy).</t>
        </is>
      </c>
      <c r="D24" s="7" t="n"/>
      <c r="E24" s="7" t="n"/>
      <c r="F24" s="7" t="n"/>
      <c r="G24" s="7" t="n"/>
      <c r="H24" s="7" t="n"/>
    </row>
    <row r="25" ht="30" customHeight="1">
      <c r="B25" s="23" t="inlineStr">
        <is>
          <t>Tarayıcı / Cihaz</t>
        </is>
      </c>
      <c r="C25" s="6" t="inlineStr">
        <is>
          <t>Hangi tarayıcı veya cihazla test edildi — dropdown.</t>
        </is>
      </c>
      <c r="D25" s="7" t="n"/>
      <c r="E25" s="7" t="n"/>
      <c r="F25" s="7" t="n"/>
      <c r="G25" s="7" t="n"/>
      <c r="H25" s="7" t="n"/>
    </row>
    <row r="26" ht="30" customHeight="1">
      <c r="B26" s="23" t="inlineStr">
        <is>
          <t>Öncelik</t>
        </is>
      </c>
      <c r="C26" s="6" t="inlineStr">
        <is>
          <t>Kritik / Yüksek / Orta / Düşük — senaryo önemi.</t>
        </is>
      </c>
      <c r="D26" s="7" t="n"/>
      <c r="E26" s="7" t="n"/>
      <c r="F26" s="7" t="n"/>
      <c r="G26" s="7" t="n"/>
      <c r="H26" s="7" t="n"/>
    </row>
    <row r="27" ht="30" customHeight="1">
      <c r="B27" s="23" t="inlineStr">
        <is>
          <t>Notlar / Hata Linki</t>
        </is>
      </c>
      <c r="C27" s="6" t="inlineStr">
        <is>
          <t>Bug tracker linki, ekran görüntüsü adı, ek not.</t>
        </is>
      </c>
      <c r="D27" s="7" t="n"/>
      <c r="E27" s="7" t="n"/>
      <c r="F27" s="7" t="n"/>
      <c r="G27" s="7" t="n"/>
      <c r="H27" s="7" t="n"/>
    </row>
    <row r="29" ht="26" customHeight="1">
      <c r="B29" s="8" t="inlineStr">
        <is>
          <t>Durum Kodları</t>
        </is>
      </c>
    </row>
    <row r="30" ht="30" customHeight="1">
      <c r="B30" s="23" t="inlineStr">
        <is>
          <t>Beklemede</t>
        </is>
      </c>
      <c r="C30" s="6" t="inlineStr">
        <is>
          <t>Henüz test edilmedi (varsayılan).</t>
        </is>
      </c>
      <c r="D30" s="7" t="n"/>
      <c r="E30" s="7" t="n"/>
      <c r="F30" s="7" t="n"/>
      <c r="G30" s="7" t="n"/>
      <c r="H30" s="7" t="n"/>
    </row>
    <row r="31" ht="30" customHeight="1">
      <c r="B31" s="23" t="inlineStr">
        <is>
          <t>Geçti</t>
        </is>
      </c>
      <c r="C31" s="6" t="inlineStr">
        <is>
          <t>Beklenen sonuç eksiksiz gözlemlendi.</t>
        </is>
      </c>
      <c r="D31" s="7" t="n"/>
      <c r="E31" s="7" t="n"/>
      <c r="F31" s="7" t="n"/>
      <c r="G31" s="7" t="n"/>
      <c r="H31" s="7" t="n"/>
    </row>
    <row r="32" ht="30" customHeight="1">
      <c r="B32" s="23" t="inlineStr">
        <is>
          <t>Kaldı</t>
        </is>
      </c>
      <c r="C32" s="6" t="inlineStr">
        <is>
          <t>Beklenen sonuç gözlemlenmedi → bug. Notlar alanına detay/link eklenmeli.</t>
        </is>
      </c>
      <c r="D32" s="7" t="n"/>
      <c r="E32" s="7" t="n"/>
      <c r="F32" s="7" t="n"/>
      <c r="G32" s="7" t="n"/>
      <c r="H32" s="7" t="n"/>
    </row>
    <row r="33" ht="30" customHeight="1">
      <c r="B33" s="23" t="inlineStr">
        <is>
          <t>Bloke</t>
        </is>
      </c>
      <c r="C33" s="6" t="inlineStr">
        <is>
          <t>Başka bir hata veya eksik nedeniyle test başlatılamadı/sürdürülemedi.</t>
        </is>
      </c>
      <c r="D33" s="7" t="n"/>
      <c r="E33" s="7" t="n"/>
      <c r="F33" s="7" t="n"/>
      <c r="G33" s="7" t="n"/>
      <c r="H33" s="7" t="n"/>
    </row>
    <row r="34" ht="30" customHeight="1">
      <c r="B34" s="23" t="inlineStr">
        <is>
          <t>Yapılamadı</t>
        </is>
      </c>
      <c r="C34" s="6" t="inlineStr">
        <is>
          <t>Test ortamında ilgili özellik henüz hazır değil.</t>
        </is>
      </c>
      <c r="D34" s="7" t="n"/>
      <c r="E34" s="7" t="n"/>
      <c r="F34" s="7" t="n"/>
      <c r="G34" s="7" t="n"/>
      <c r="H34" s="7" t="n"/>
    </row>
    <row r="35" ht="30" customHeight="1">
      <c r="B35" s="23" t="inlineStr">
        <is>
          <t>N/A</t>
        </is>
      </c>
      <c r="C35" s="6" t="inlineStr">
        <is>
          <t>Bu projede uygulanmıyor (örn. opsiyonel feature kapsam dışı).</t>
        </is>
      </c>
      <c r="D35" s="7" t="n"/>
      <c r="E35" s="7" t="n"/>
      <c r="F35" s="7" t="n"/>
      <c r="G35" s="7" t="n"/>
      <c r="H35" s="7" t="n"/>
    </row>
    <row r="37" ht="26" customHeight="1">
      <c r="B37" s="8" t="inlineStr">
        <is>
          <t>Test Süreci</t>
        </is>
      </c>
    </row>
    <row r="38" ht="30" customHeight="1">
      <c r="B38" s="23" t="inlineStr">
        <is>
          <t>1.</t>
        </is>
      </c>
      <c r="C38" s="6" t="inlineStr">
        <is>
          <t>Tarodan ekibi tüm senaryoları yürütür ve sonuçları işaretler.</t>
        </is>
      </c>
      <c r="D38" s="7" t="n"/>
      <c r="E38" s="7" t="n"/>
      <c r="F38" s="7" t="n"/>
      <c r="G38" s="7" t="n"/>
      <c r="H38" s="7" t="n"/>
    </row>
    <row r="39" ht="30" customHeight="1">
      <c r="B39" s="23" t="inlineStr">
        <is>
          <t>2.</t>
        </is>
      </c>
      <c r="C39" s="6" t="inlineStr">
        <is>
          <t>Müşteri kendi ortamında aynı senaryoları yürütür ve doğrular.</t>
        </is>
      </c>
      <c r="D39" s="7" t="n"/>
      <c r="E39" s="7" t="n"/>
      <c r="F39" s="7" t="n"/>
      <c r="G39" s="7" t="n"/>
      <c r="H39" s="7" t="n"/>
    </row>
    <row r="40" ht="30" customHeight="1">
      <c r="B40" s="23" t="inlineStr">
        <is>
          <t>3.</t>
        </is>
      </c>
      <c r="C40" s="6" t="inlineStr">
        <is>
          <t>Bug bulunursa 'Notlar' kolonuna issue linki/açıklaması yazılır.</t>
        </is>
      </c>
      <c r="D40" s="7" t="n"/>
      <c r="E40" s="7" t="n"/>
      <c r="F40" s="7" t="n"/>
      <c r="G40" s="7" t="n"/>
      <c r="H40" s="7" t="n"/>
    </row>
    <row r="41" ht="30" customHeight="1">
      <c r="B41" s="23" t="inlineStr">
        <is>
          <t>4.</t>
        </is>
      </c>
      <c r="C41" s="6" t="inlineStr">
        <is>
          <t>Tüm 'Kaldı' senaryolar için düzeltme yapılıp yeniden test edilir.</t>
        </is>
      </c>
      <c r="D41" s="7" t="n"/>
      <c r="E41" s="7" t="n"/>
      <c r="F41" s="7" t="n"/>
      <c r="G41" s="7" t="n"/>
      <c r="H41" s="7" t="n"/>
    </row>
    <row r="42" ht="30" customHeight="1">
      <c r="B42" s="23" t="inlineStr">
        <is>
          <t>5.</t>
        </is>
      </c>
      <c r="C42" s="6" t="inlineStr">
        <is>
          <t>Sheet sonundaki imza alanları her iki taraf tarafından imzalanır.</t>
        </is>
      </c>
      <c r="D42" s="7" t="n"/>
      <c r="E42" s="7" t="n"/>
      <c r="F42" s="7" t="n"/>
      <c r="G42" s="7" t="n"/>
      <c r="H42" s="7" t="n"/>
    </row>
    <row r="43" ht="30" customHeight="1">
      <c r="B43" s="23" t="inlineStr">
        <is>
          <t>6.</t>
        </is>
      </c>
      <c r="C43" s="6" t="inlineStr">
        <is>
          <t>Kapak ve 'ZZ - İmza' sayfaları nihai onay olarak imzalanır.</t>
        </is>
      </c>
      <c r="D43" s="7" t="n"/>
      <c r="E43" s="7" t="n"/>
      <c r="F43" s="7" t="n"/>
      <c r="G43" s="7" t="n"/>
      <c r="H43" s="7" t="n"/>
    </row>
  </sheetData>
  <mergeCells count="38">
    <mergeCell ref="C25:H25"/>
    <mergeCell ref="C26:H26"/>
    <mergeCell ref="C10:H10"/>
    <mergeCell ref="C16:H16"/>
    <mergeCell ref="C41:H41"/>
    <mergeCell ref="C22:H22"/>
    <mergeCell ref="C40:H40"/>
    <mergeCell ref="C9:H9"/>
    <mergeCell ref="C31:H31"/>
    <mergeCell ref="C43:H43"/>
    <mergeCell ref="C12:H12"/>
    <mergeCell ref="C21:H21"/>
    <mergeCell ref="C11:H11"/>
    <mergeCell ref="C27:H27"/>
    <mergeCell ref="B4:H4"/>
    <mergeCell ref="C23:H23"/>
    <mergeCell ref="C39:H39"/>
    <mergeCell ref="C8:H8"/>
    <mergeCell ref="C17:H17"/>
    <mergeCell ref="C7:H7"/>
    <mergeCell ref="C32:H32"/>
    <mergeCell ref="C38:H38"/>
    <mergeCell ref="C19:H19"/>
    <mergeCell ref="C18:H18"/>
    <mergeCell ref="C34:H34"/>
    <mergeCell ref="A1:H2"/>
    <mergeCell ref="C30:H30"/>
    <mergeCell ref="C15:H15"/>
    <mergeCell ref="C33:H33"/>
    <mergeCell ref="C6:H6"/>
    <mergeCell ref="B14:H14"/>
    <mergeCell ref="C24:H24"/>
    <mergeCell ref="C42:H42"/>
    <mergeCell ref="C5:H5"/>
    <mergeCell ref="C35:H35"/>
    <mergeCell ref="B29:H29"/>
    <mergeCell ref="C20:H20"/>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W01 — Kayıt, Giriş ve Çıkış</t>
        </is>
      </c>
    </row>
    <row r="2" ht="28" customHeight="1">
      <c r="A2" s="24" t="inlineStr">
        <is>
          <t>Bireysel kayıt, kurumsal kayıt, giriş, çıkış ve form doğrulamaları.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64" customHeight="1">
      <c r="A4" s="14" t="inlineStr">
        <is>
          <t>W01-001</t>
        </is>
      </c>
      <c r="B4" s="25" t="inlineStr">
        <is>
          <t>W01</t>
        </is>
      </c>
      <c r="C4" s="6" t="inlineStr">
        <is>
          <t>Yeni bireysel kullanıcı kaydı (geçerli bilgilerle)</t>
        </is>
      </c>
      <c r="D4" s="6" t="inlineStr">
        <is>
          <t>Hiç kayıt olmamış e-posta hazır.</t>
        </is>
      </c>
      <c r="E4" s="6" t="inlineStr">
        <is>
          <t>1. /register sayfasına git
2. Ad, soyad, e-posta, telefon, doğum tarihi, şifre gir
3. KVKK ve sözleşme onayını işaretle
4. Kayıt Ol'a bas</t>
        </is>
      </c>
      <c r="F4" s="6" t="inlineStr">
        <is>
          <t>Hesap oluşturulur, e-posta doğrulama maili tetiklenir, kullanıcı yönlendirilir.</t>
        </is>
      </c>
      <c r="G4" s="6" t="inlineStr"/>
      <c r="H4" s="14" t="inlineStr">
        <is>
          <t>Beklemede</t>
        </is>
      </c>
      <c r="I4" s="25" t="inlineStr"/>
      <c r="J4" s="25" t="inlineStr"/>
      <c r="K4" s="25" t="inlineStr"/>
      <c r="L4" s="14" t="inlineStr">
        <is>
          <t>Kritik</t>
        </is>
      </c>
      <c r="M4" s="6" t="inlineStr"/>
    </row>
    <row r="5" ht="48" customHeight="1">
      <c r="A5" s="16" t="inlineStr">
        <is>
          <t>W01-002</t>
        </is>
      </c>
      <c r="B5" s="26" t="inlineStr">
        <is>
          <t>W01</t>
        </is>
      </c>
      <c r="C5" s="18" t="inlineStr">
        <is>
          <t>Aynı e-posta ile ikinci kez kayıt</t>
        </is>
      </c>
      <c r="D5" s="18" t="inlineStr">
        <is>
          <t>Daha önce kayıtlı bir e-posta var.</t>
        </is>
      </c>
      <c r="E5" s="18" t="inlineStr">
        <is>
          <t>1. /register sayfasına git
2. Mevcut e-postayı gir, formu doldur
3. Kayıt Ol'a bas</t>
        </is>
      </c>
      <c r="F5" s="18" t="inlineStr">
        <is>
          <t>“Bu e-posta zaten kullanılıyor” hatası, giriş sayfasına link gösterilir.</t>
        </is>
      </c>
      <c r="G5" s="18" t="inlineStr"/>
      <c r="H5" s="16" t="inlineStr">
        <is>
          <t>Beklemede</t>
        </is>
      </c>
      <c r="I5" s="26" t="inlineStr"/>
      <c r="J5" s="26" t="inlineStr"/>
      <c r="K5" s="26" t="inlineStr"/>
      <c r="L5" s="16" t="inlineStr">
        <is>
          <t>Yüksek</t>
        </is>
      </c>
      <c r="M5" s="18" t="inlineStr"/>
    </row>
    <row r="6" ht="40" customHeight="1">
      <c r="A6" s="14" t="inlineStr">
        <is>
          <t>W01-003</t>
        </is>
      </c>
      <c r="B6" s="25" t="inlineStr">
        <is>
          <t>W01</t>
        </is>
      </c>
      <c r="C6" s="6" t="inlineStr">
        <is>
          <t>Şifre güvenlik kuralı (zayıf şifre reddi)</t>
        </is>
      </c>
      <c r="D6" s="6" t="inlineStr">
        <is>
          <t>—</t>
        </is>
      </c>
      <c r="E6" s="6" t="inlineStr">
        <is>
          <t>1. Kayıt formunu doldur, şifreye '123456' gir
2. Kayıt Ol'a bas</t>
        </is>
      </c>
      <c r="F6" s="6" t="inlineStr">
        <is>
          <t>Şifre yetersiz hatası; kabul edilmiyor.</t>
        </is>
      </c>
      <c r="G6" s="6" t="inlineStr"/>
      <c r="H6" s="14" t="inlineStr">
        <is>
          <t>Beklemede</t>
        </is>
      </c>
      <c r="I6" s="25" t="inlineStr"/>
      <c r="J6" s="25" t="inlineStr"/>
      <c r="K6" s="25" t="inlineStr"/>
      <c r="L6" s="14" t="inlineStr">
        <is>
          <t>Yüksek</t>
        </is>
      </c>
      <c r="M6" s="6" t="inlineStr"/>
    </row>
    <row r="7" ht="40" customHeight="1">
      <c r="A7" s="16" t="inlineStr">
        <is>
          <t>W01-004</t>
        </is>
      </c>
      <c r="B7" s="26" t="inlineStr">
        <is>
          <t>W01</t>
        </is>
      </c>
      <c r="C7" s="18" t="inlineStr">
        <is>
          <t>Telefon numarası formatı doğrulama</t>
        </is>
      </c>
      <c r="D7" s="18" t="inlineStr">
        <is>
          <t>—</t>
        </is>
      </c>
      <c r="E7" s="18" t="inlineStr">
        <is>
          <t>1. Telefonu '12345' olarak gir, formu gönder</t>
        </is>
      </c>
      <c r="F7" s="18" t="inlineStr">
        <is>
          <t>Geçersiz telefon hatası; submit engellenir.</t>
        </is>
      </c>
      <c r="G7" s="18" t="inlineStr"/>
      <c r="H7" s="16" t="inlineStr">
        <is>
          <t>Beklemede</t>
        </is>
      </c>
      <c r="I7" s="26" t="inlineStr"/>
      <c r="J7" s="26" t="inlineStr"/>
      <c r="K7" s="26" t="inlineStr"/>
      <c r="L7" s="16" t="inlineStr">
        <is>
          <t>Orta</t>
        </is>
      </c>
      <c r="M7" s="18" t="inlineStr"/>
    </row>
    <row r="8" ht="40" customHeight="1">
      <c r="A8" s="14" t="inlineStr">
        <is>
          <t>W01-005</t>
        </is>
      </c>
      <c r="B8" s="25" t="inlineStr">
        <is>
          <t>W01</t>
        </is>
      </c>
      <c r="C8" s="6" t="inlineStr">
        <is>
          <t>KVKK onayı işaretlenmeden kayıt denenmesi</t>
        </is>
      </c>
      <c r="D8" s="6" t="inlineStr">
        <is>
          <t>—</t>
        </is>
      </c>
      <c r="E8" s="6" t="inlineStr">
        <is>
          <t>1. Tüm alanları doldur, KVKK onayını işaretleme
2. Kayıt Ol'a bas</t>
        </is>
      </c>
      <c r="F8" s="6" t="inlineStr">
        <is>
          <t>Form gönderilemez; KVKK uyarısı gösterilir.</t>
        </is>
      </c>
      <c r="G8" s="6" t="inlineStr"/>
      <c r="H8" s="14" t="inlineStr">
        <is>
          <t>Beklemede</t>
        </is>
      </c>
      <c r="I8" s="25" t="inlineStr"/>
      <c r="J8" s="25" t="inlineStr"/>
      <c r="K8" s="25" t="inlineStr"/>
      <c r="L8" s="14" t="inlineStr">
        <is>
          <t>Yüksek</t>
        </is>
      </c>
      <c r="M8" s="6" t="inlineStr"/>
    </row>
    <row r="9" ht="48" customHeight="1">
      <c r="A9" s="16" t="inlineStr">
        <is>
          <t>W01-006</t>
        </is>
      </c>
      <c r="B9" s="26" t="inlineStr">
        <is>
          <t>W01</t>
        </is>
      </c>
      <c r="C9" s="18" t="inlineStr">
        <is>
          <t>Kurumsal (business) hesap kaydı</t>
        </is>
      </c>
      <c r="D9" s="18" t="inlineStr">
        <is>
          <t>—</t>
        </is>
      </c>
      <c r="E9" s="18" t="inlineStr">
        <is>
          <t>1. /register/business sayfasına git
2. Şirket adı, vergi numarası, KVKK onayı, kişisel bilgiler gir
3. Kayıt Ol'a bas</t>
        </is>
      </c>
      <c r="F9" s="18" t="inlineStr">
        <is>
          <t>Kurumsal hesap oluşturulur, satıcı uygunluk başvurusu kuyruğa alınır.</t>
        </is>
      </c>
      <c r="G9" s="18" t="inlineStr"/>
      <c r="H9" s="16" t="inlineStr">
        <is>
          <t>Beklemede</t>
        </is>
      </c>
      <c r="I9" s="26" t="inlineStr"/>
      <c r="J9" s="26" t="inlineStr"/>
      <c r="K9" s="26" t="inlineStr"/>
      <c r="L9" s="16" t="inlineStr">
        <is>
          <t>Yüksek</t>
        </is>
      </c>
      <c r="M9" s="18" t="inlineStr"/>
    </row>
    <row r="10" ht="40" customHeight="1">
      <c r="A10" s="14" t="inlineStr">
        <is>
          <t>W01-007</t>
        </is>
      </c>
      <c r="B10" s="25" t="inlineStr">
        <is>
          <t>W01</t>
        </is>
      </c>
      <c r="C10" s="6" t="inlineStr">
        <is>
          <t>Vergi numarası geçersiz format</t>
        </is>
      </c>
      <c r="D10" s="6" t="inlineStr">
        <is>
          <t>—</t>
        </is>
      </c>
      <c r="E10" s="6" t="inlineStr">
        <is>
          <t>1. Kurumsal kayıtta vergi numarasına 'abc' gir
2. Submit</t>
        </is>
      </c>
      <c r="F10" s="6" t="inlineStr">
        <is>
          <t>Vergi numarası format hatası gösterilir.</t>
        </is>
      </c>
      <c r="G10" s="6" t="inlineStr"/>
      <c r="H10" s="14" t="inlineStr">
        <is>
          <t>Beklemede</t>
        </is>
      </c>
      <c r="I10" s="25" t="inlineStr"/>
      <c r="J10" s="25" t="inlineStr"/>
      <c r="K10" s="25" t="inlineStr"/>
      <c r="L10" s="14" t="inlineStr">
        <is>
          <t>Orta</t>
        </is>
      </c>
      <c r="M10" s="6" t="inlineStr"/>
    </row>
    <row r="11" ht="48" customHeight="1">
      <c r="A11" s="16" t="inlineStr">
        <is>
          <t>W01-008</t>
        </is>
      </c>
      <c r="B11" s="26" t="inlineStr">
        <is>
          <t>W01</t>
        </is>
      </c>
      <c r="C11" s="18" t="inlineStr">
        <is>
          <t>Geçerli bilgilerle giriş</t>
        </is>
      </c>
      <c r="D11" s="18" t="inlineStr">
        <is>
          <t>Doğrulanmış kullanıcı.</t>
        </is>
      </c>
      <c r="E11" s="18" t="inlineStr">
        <is>
          <t>1. /login sayfasına git
2. E-posta + şifre gir
3. Giriş Yap'a bas</t>
        </is>
      </c>
      <c r="F11" s="18" t="inlineStr">
        <is>
          <t>Anasayfa veya yönlendirme hedefine giriş yapılmış olarak ulaşılır; üst menüde profil görünür.</t>
        </is>
      </c>
      <c r="G11" s="18" t="inlineStr"/>
      <c r="H11" s="16" t="inlineStr">
        <is>
          <t>Beklemede</t>
        </is>
      </c>
      <c r="I11" s="26" t="inlineStr"/>
      <c r="J11" s="26" t="inlineStr"/>
      <c r="K11" s="26" t="inlineStr"/>
      <c r="L11" s="16" t="inlineStr">
        <is>
          <t>Kritik</t>
        </is>
      </c>
      <c r="M11" s="18" t="inlineStr"/>
    </row>
    <row r="12" ht="40" customHeight="1">
      <c r="A12" s="14" t="inlineStr">
        <is>
          <t>W01-009</t>
        </is>
      </c>
      <c r="B12" s="25" t="inlineStr">
        <is>
          <t>W01</t>
        </is>
      </c>
      <c r="C12" s="6" t="inlineStr">
        <is>
          <t>Yanlış şifre ile giriş</t>
        </is>
      </c>
      <c r="D12" s="6" t="inlineStr">
        <is>
          <t>Mevcut hesap.</t>
        </is>
      </c>
      <c r="E12" s="6" t="inlineStr">
        <is>
          <t>1. E-postayı doğru, şifreyi yanlış gir
2. Giriş Yap'a bas</t>
        </is>
      </c>
      <c r="F12" s="6" t="inlineStr">
        <is>
          <t>Hata mesajı; sayfa giriş sayfasında kalır; sayaç artar.</t>
        </is>
      </c>
      <c r="G12" s="6" t="inlineStr"/>
      <c r="H12" s="14" t="inlineStr">
        <is>
          <t>Beklemede</t>
        </is>
      </c>
      <c r="I12" s="25" t="inlineStr"/>
      <c r="J12" s="25" t="inlineStr"/>
      <c r="K12" s="25" t="inlineStr"/>
      <c r="L12" s="14" t="inlineStr">
        <is>
          <t>Yüksek</t>
        </is>
      </c>
      <c r="M12" s="6" t="inlineStr"/>
    </row>
    <row r="13" ht="40" customHeight="1">
      <c r="A13" s="16" t="inlineStr">
        <is>
          <t>W01-010</t>
        </is>
      </c>
      <c r="B13" s="26" t="inlineStr">
        <is>
          <t>W01</t>
        </is>
      </c>
      <c r="C13" s="18" t="inlineStr">
        <is>
          <t>5 başarısız denemeden sonra hesap kilidi</t>
        </is>
      </c>
      <c r="D13" s="18" t="inlineStr">
        <is>
          <t>Aynı kullanıcıya 5 yanlış şifre denemesi yapıldı.</t>
        </is>
      </c>
      <c r="E13" s="18" t="inlineStr">
        <is>
          <t>1. 6. denemeyi yap</t>
        </is>
      </c>
      <c r="F13" s="18" t="inlineStr">
        <is>
          <t>Hesap geçici kilitlenir (30 dk) veya rate-limit uyarısı verilir.</t>
        </is>
      </c>
      <c r="G13" s="18" t="inlineStr"/>
      <c r="H13" s="16" t="inlineStr">
        <is>
          <t>Beklemede</t>
        </is>
      </c>
      <c r="I13" s="26" t="inlineStr"/>
      <c r="J13" s="26" t="inlineStr"/>
      <c r="K13" s="26" t="inlineStr"/>
      <c r="L13" s="16" t="inlineStr">
        <is>
          <t>Yüksek</t>
        </is>
      </c>
      <c r="M13" s="18" t="inlineStr"/>
    </row>
    <row r="14" ht="40" customHeight="1">
      <c r="A14" s="14" t="inlineStr">
        <is>
          <t>W01-011</t>
        </is>
      </c>
      <c r="B14" s="25" t="inlineStr">
        <is>
          <t>W01</t>
        </is>
      </c>
      <c r="C14" s="6" t="inlineStr">
        <is>
          <t>Çıkış (logout)</t>
        </is>
      </c>
      <c r="D14" s="6" t="inlineStr">
        <is>
          <t>Giriş yapılmış oturum.</t>
        </is>
      </c>
      <c r="E14" s="6" t="inlineStr">
        <is>
          <t>1. Profil menüsünden 'Çıkış'a bas</t>
        </is>
      </c>
      <c r="F14" s="6" t="inlineStr">
        <is>
          <t>Oturum sonlandırılır, anasayfaya yönlendirilir, korumalı sayfalara erişim engellenir.</t>
        </is>
      </c>
      <c r="G14" s="6" t="inlineStr"/>
      <c r="H14" s="14" t="inlineStr">
        <is>
          <t>Beklemede</t>
        </is>
      </c>
      <c r="I14" s="25" t="inlineStr"/>
      <c r="J14" s="25" t="inlineStr"/>
      <c r="K14" s="25" t="inlineStr"/>
      <c r="L14" s="14" t="inlineStr">
        <is>
          <t>Yüksek</t>
        </is>
      </c>
      <c r="M14" s="6" t="inlineStr"/>
    </row>
    <row r="15" ht="40" customHeight="1">
      <c r="A15" s="16" t="inlineStr">
        <is>
          <t>W01-012</t>
        </is>
      </c>
      <c r="B15" s="26" t="inlineStr">
        <is>
          <t>W01</t>
        </is>
      </c>
      <c r="C15" s="18" t="inlineStr">
        <is>
          <t>Korumalı sayfaya misafir erişimi</t>
        </is>
      </c>
      <c r="D15" s="18" t="inlineStr">
        <is>
          <t>Çıkış yapılmış.</t>
        </is>
      </c>
      <c r="E15" s="18" t="inlineStr">
        <is>
          <t>1. /orders veya /profile adresine git</t>
        </is>
      </c>
      <c r="F15" s="18" t="inlineStr">
        <is>
          <t>/login?redirect=... adresine yönlendirme yapılır; giriş sonrası asıl sayfaya döner.</t>
        </is>
      </c>
      <c r="G15" s="18" t="inlineStr"/>
      <c r="H15" s="16" t="inlineStr">
        <is>
          <t>Beklemede</t>
        </is>
      </c>
      <c r="I15" s="26" t="inlineStr"/>
      <c r="J15" s="26" t="inlineStr"/>
      <c r="K15" s="26" t="inlineStr"/>
      <c r="L15" s="16" t="inlineStr">
        <is>
          <t>Kritik</t>
        </is>
      </c>
      <c r="M15" s="18" t="inlineStr"/>
    </row>
    <row r="16" ht="40" customHeight="1">
      <c r="A16" s="14" t="inlineStr">
        <is>
          <t>W01-013</t>
        </is>
      </c>
      <c r="B16" s="25" t="inlineStr">
        <is>
          <t>W01</t>
        </is>
      </c>
      <c r="C16" s="6" t="inlineStr">
        <is>
          <t>Beni Hatırla seçeneği</t>
        </is>
      </c>
      <c r="D16" s="6" t="inlineStr">
        <is>
          <t>—</t>
        </is>
      </c>
      <c r="E16" s="6" t="inlineStr">
        <is>
          <t>1. Beni Hatırla işaretli giriş yap
2. Tarayıcıyı kapatıp yeniden aç</t>
        </is>
      </c>
      <c r="F16" s="6" t="inlineStr">
        <is>
          <t>Oturum hala açıktır.</t>
        </is>
      </c>
      <c r="G16" s="6" t="inlineStr"/>
      <c r="H16" s="14" t="inlineStr">
        <is>
          <t>Beklemede</t>
        </is>
      </c>
      <c r="I16" s="25" t="inlineStr"/>
      <c r="J16" s="25" t="inlineStr"/>
      <c r="K16" s="25" t="inlineStr"/>
      <c r="L16" s="14" t="inlineStr">
        <is>
          <t>Orta</t>
        </is>
      </c>
      <c r="M16" s="6" t="inlineStr"/>
    </row>
    <row r="19">
      <c r="A19" s="27" t="inlineStr">
        <is>
          <t>Bu sayfadaki tüm senaryolar test edilmiş ve sonuçlar yukarıda işaretlenmiştir.</t>
        </is>
      </c>
    </row>
    <row r="20">
      <c r="A20" s="28" t="inlineStr">
        <is>
          <t>Test Eden (Tarodan)</t>
        </is>
      </c>
      <c r="D20" s="28" t="inlineStr">
        <is>
          <t>Tarih</t>
        </is>
      </c>
      <c r="G20" s="28" t="inlineStr">
        <is>
          <t>Onaylayan (Müşteri)</t>
        </is>
      </c>
      <c r="J20" s="28" t="inlineStr">
        <is>
          <t>Tarih</t>
        </is>
      </c>
    </row>
    <row r="21">
      <c r="A21" s="7" t="n"/>
      <c r="D21" s="7" t="n"/>
      <c r="G21" s="7" t="n"/>
      <c r="J21" s="7" t="n"/>
    </row>
  </sheetData>
  <mergeCells count="7">
    <mergeCell ref="G21:H21"/>
    <mergeCell ref="A19:M19"/>
    <mergeCell ref="A21:B21"/>
    <mergeCell ref="J21:K21"/>
    <mergeCell ref="A1:M1"/>
    <mergeCell ref="A2:M2"/>
    <mergeCell ref="D21:E21"/>
  </mergeCells>
  <conditionalFormatting sqref="H4:H16">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6" showDropDown="0" showInputMessage="0" showErrorMessage="0" allowBlank="1" errorTitle="Geçersiz değer" error="Lütfen listedeki seçeneklerden birini seçin." type="list">
      <formula1>"Beklemede,Geçti,Kaldı,Bloke,Yapılamadı,N/A"</formula1>
    </dataValidation>
    <dataValidation sqref="L4:L16" showDropDown="0" showInputMessage="0" showErrorMessage="0" allowBlank="1" type="list">
      <formula1>"Kritik,Yüksek,Orta,Düşük"</formula1>
    </dataValidation>
    <dataValidation sqref="K4:K16"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W02 — Şifre Sıfırlama, E-posta ve OTP Doğrulama</t>
        </is>
      </c>
    </row>
    <row r="2" ht="28" customHeight="1">
      <c r="A2" s="24" t="inlineStr">
        <is>
          <t>Şifre unuttum akışı, e-posta doğrulama, misafir e-posta OTP, rate-limit.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W02-001</t>
        </is>
      </c>
      <c r="B4" s="25" t="inlineStr">
        <is>
          <t>W02</t>
        </is>
      </c>
      <c r="C4" s="6" t="inlineStr">
        <is>
          <t>Şifremi Unuttum maili gönderme</t>
        </is>
      </c>
      <c r="D4" s="6" t="inlineStr">
        <is>
          <t>Kayıtlı e-posta.</t>
        </is>
      </c>
      <c r="E4" s="6" t="inlineStr">
        <is>
          <t>1. /forgot-password sayfasına git
2. E-postayı gir, Gönder'e bas</t>
        </is>
      </c>
      <c r="F4" s="6" t="inlineStr">
        <is>
          <t>“Mail gönderildi” bilgisi; e-postaya 1 saat geçerli sıfırlama linki düşer.</t>
        </is>
      </c>
      <c r="G4" s="6" t="inlineStr"/>
      <c r="H4" s="14" t="inlineStr">
        <is>
          <t>Beklemede</t>
        </is>
      </c>
      <c r="I4" s="25" t="inlineStr"/>
      <c r="J4" s="25" t="inlineStr"/>
      <c r="K4" s="25" t="inlineStr"/>
      <c r="L4" s="14" t="inlineStr">
        <is>
          <t>Kritik</t>
        </is>
      </c>
      <c r="M4" s="6" t="inlineStr"/>
    </row>
    <row r="5" ht="48" customHeight="1">
      <c r="A5" s="16" t="inlineStr">
        <is>
          <t>W02-002</t>
        </is>
      </c>
      <c r="B5" s="26" t="inlineStr">
        <is>
          <t>W02</t>
        </is>
      </c>
      <c r="C5" s="18" t="inlineStr">
        <is>
          <t>Şifre sıfırlama linkine tıklama (geçerli token)</t>
        </is>
      </c>
      <c r="D5" s="18" t="inlineStr">
        <is>
          <t>Yeni gönderilmiş sıfırlama maili.</t>
        </is>
      </c>
      <c r="E5" s="18" t="inlineStr">
        <is>
          <t>1. Maildeki linke tıkla
2. /reset-password açılır
3. Yeni şifre + tekrar gir, Gönder</t>
        </is>
      </c>
      <c r="F5" s="18" t="inlineStr">
        <is>
          <t>Şifre güncellenir; giriş sayfasına yönlendirir; yeni şifre ile giriş çalışır.</t>
        </is>
      </c>
      <c r="G5" s="18" t="inlineStr"/>
      <c r="H5" s="16" t="inlineStr">
        <is>
          <t>Beklemede</t>
        </is>
      </c>
      <c r="I5" s="26" t="inlineStr"/>
      <c r="J5" s="26" t="inlineStr"/>
      <c r="K5" s="26" t="inlineStr"/>
      <c r="L5" s="16" t="inlineStr">
        <is>
          <t>Kritik</t>
        </is>
      </c>
      <c r="M5" s="18" t="inlineStr"/>
    </row>
    <row r="6" ht="40" customHeight="1">
      <c r="A6" s="14" t="inlineStr">
        <is>
          <t>W02-003</t>
        </is>
      </c>
      <c r="B6" s="25" t="inlineStr">
        <is>
          <t>W02</t>
        </is>
      </c>
      <c r="C6" s="6" t="inlineStr">
        <is>
          <t>Süresi dolmuş token ile sıfırlama</t>
        </is>
      </c>
      <c r="D6" s="6" t="inlineStr">
        <is>
          <t>1 saatten eski token.</t>
        </is>
      </c>
      <c r="E6" s="6" t="inlineStr">
        <is>
          <t>1. Eski token'lı linke tıkla</t>
        </is>
      </c>
      <c r="F6" s="6" t="inlineStr">
        <is>
          <t>“Link süresi dolmuş” mesajı; yeniden gönder seçeneği sunulur.</t>
        </is>
      </c>
      <c r="G6" s="6" t="inlineStr"/>
      <c r="H6" s="14" t="inlineStr">
        <is>
          <t>Beklemede</t>
        </is>
      </c>
      <c r="I6" s="25" t="inlineStr"/>
      <c r="J6" s="25" t="inlineStr"/>
      <c r="K6" s="25" t="inlineStr"/>
      <c r="L6" s="14" t="inlineStr">
        <is>
          <t>Yüksek</t>
        </is>
      </c>
      <c r="M6" s="6" t="inlineStr"/>
    </row>
    <row r="7" ht="40" customHeight="1">
      <c r="A7" s="16" t="inlineStr">
        <is>
          <t>W02-004</t>
        </is>
      </c>
      <c r="B7" s="26" t="inlineStr">
        <is>
          <t>W02</t>
        </is>
      </c>
      <c r="C7" s="18" t="inlineStr">
        <is>
          <t>Aynı token ile ikinci kez sıfırlama</t>
        </is>
      </c>
      <c r="D7" s="18" t="inlineStr">
        <is>
          <t>Daha önce kullanılmış token.</t>
        </is>
      </c>
      <c r="E7" s="18" t="inlineStr">
        <is>
          <t>1. Aynı linke ikinci kez tıkla</t>
        </is>
      </c>
      <c r="F7" s="18" t="inlineStr">
        <is>
          <t>Token tek kullanımlık; geçersiz token mesajı.</t>
        </is>
      </c>
      <c r="G7" s="18" t="inlineStr"/>
      <c r="H7" s="16" t="inlineStr">
        <is>
          <t>Beklemede</t>
        </is>
      </c>
      <c r="I7" s="26" t="inlineStr"/>
      <c r="J7" s="26" t="inlineStr"/>
      <c r="K7" s="26" t="inlineStr"/>
      <c r="L7" s="16" t="inlineStr">
        <is>
          <t>Yüksek</t>
        </is>
      </c>
      <c r="M7" s="18" t="inlineStr"/>
    </row>
    <row r="8" ht="40" customHeight="1">
      <c r="A8" s="14" t="inlineStr">
        <is>
          <t>W02-005</t>
        </is>
      </c>
      <c r="B8" s="25" t="inlineStr">
        <is>
          <t>W02</t>
        </is>
      </c>
      <c r="C8" s="6" t="inlineStr">
        <is>
          <t>Kayıtsız e-posta ile şifre sıfırlama isteği</t>
        </is>
      </c>
      <c r="D8" s="6" t="inlineStr">
        <is>
          <t>—</t>
        </is>
      </c>
      <c r="E8" s="6" t="inlineStr">
        <is>
          <t>1. Sistemde olmayan bir e-posta gir, Gönder</t>
        </is>
      </c>
      <c r="F8" s="6" t="inlineStr">
        <is>
          <t>Kullanıcı yanıltma için aynı genel mesaj gösterilir; mail gönderilmez (enumeration koruması).</t>
        </is>
      </c>
      <c r="G8" s="6" t="inlineStr"/>
      <c r="H8" s="14" t="inlineStr">
        <is>
          <t>Beklemede</t>
        </is>
      </c>
      <c r="I8" s="25" t="inlineStr"/>
      <c r="J8" s="25" t="inlineStr"/>
      <c r="K8" s="25" t="inlineStr"/>
      <c r="L8" s="14" t="inlineStr">
        <is>
          <t>Yüksek</t>
        </is>
      </c>
      <c r="M8" s="6" t="inlineStr"/>
    </row>
    <row r="9" ht="40" customHeight="1">
      <c r="A9" s="16" t="inlineStr">
        <is>
          <t>W02-006</t>
        </is>
      </c>
      <c r="B9" s="26" t="inlineStr">
        <is>
          <t>W02</t>
        </is>
      </c>
      <c r="C9" s="18" t="inlineStr">
        <is>
          <t>Yeni kullanıcı e-posta doğrulama maili</t>
        </is>
      </c>
      <c r="D9" s="18" t="inlineStr">
        <is>
          <t>Yeni kayıtlı, doğrulanmamış kullanıcı.</t>
        </is>
      </c>
      <c r="E9" s="18" t="inlineStr">
        <is>
          <t>1. Maildeki doğrulama linkine tıkla</t>
        </is>
      </c>
      <c r="F9" s="18" t="inlineStr">
        <is>
          <t>E-posta doğrulanır, profilde 'doğrulandı' rozeti görünür.</t>
        </is>
      </c>
      <c r="G9" s="18" t="inlineStr"/>
      <c r="H9" s="16" t="inlineStr">
        <is>
          <t>Beklemede</t>
        </is>
      </c>
      <c r="I9" s="26" t="inlineStr"/>
      <c r="J9" s="26" t="inlineStr"/>
      <c r="K9" s="26" t="inlineStr"/>
      <c r="L9" s="16" t="inlineStr">
        <is>
          <t>Kritik</t>
        </is>
      </c>
      <c r="M9" s="18" t="inlineStr"/>
    </row>
    <row r="10" ht="40" customHeight="1">
      <c r="A10" s="14" t="inlineStr">
        <is>
          <t>W02-007</t>
        </is>
      </c>
      <c r="B10" s="25" t="inlineStr">
        <is>
          <t>W02</t>
        </is>
      </c>
      <c r="C10" s="6" t="inlineStr">
        <is>
          <t>Doğrulanmamış kullanıcı satışa çıkmaya çalışır</t>
        </is>
      </c>
      <c r="D10" s="6" t="inlineStr">
        <is>
          <t>E-posta doğrulanmamış.</t>
        </is>
      </c>
      <c r="E10" s="6" t="inlineStr">
        <is>
          <t>1. /listings/new veya /sell sayfasına git</t>
        </is>
      </c>
      <c r="F10" s="6" t="inlineStr">
        <is>
          <t>“Önce e-postanızı doğrulayın” uyarısı; doğrulama maili tekrar gönder linki.</t>
        </is>
      </c>
      <c r="G10" s="6" t="inlineStr"/>
      <c r="H10" s="14" t="inlineStr">
        <is>
          <t>Beklemede</t>
        </is>
      </c>
      <c r="I10" s="25" t="inlineStr"/>
      <c r="J10" s="25" t="inlineStr"/>
      <c r="K10" s="25" t="inlineStr"/>
      <c r="L10" s="14" t="inlineStr">
        <is>
          <t>Yüksek</t>
        </is>
      </c>
      <c r="M10" s="6" t="inlineStr"/>
    </row>
    <row r="11" ht="40" customHeight="1">
      <c r="A11" s="16" t="inlineStr">
        <is>
          <t>W02-008</t>
        </is>
      </c>
      <c r="B11" s="26" t="inlineStr">
        <is>
          <t>W02</t>
        </is>
      </c>
      <c r="C11" s="18" t="inlineStr">
        <is>
          <t>Misafir checkout — e-posta OTP gönder</t>
        </is>
      </c>
      <c r="D11" s="18" t="inlineStr">
        <is>
          <t>Misafir checkout adımına gelinmiş.</t>
        </is>
      </c>
      <c r="E11" s="18" t="inlineStr">
        <is>
          <t>1. E-postayı gir
2. 'Kod Gönder' butonuna bas</t>
        </is>
      </c>
      <c r="F11" s="18" t="inlineStr">
        <is>
          <t>“Kod gönderildi” bilgisi; e-postaya 6 haneli kod düşer (TTL ~10dk).</t>
        </is>
      </c>
      <c r="G11" s="18" t="inlineStr"/>
      <c r="H11" s="16" t="inlineStr">
        <is>
          <t>Beklemede</t>
        </is>
      </c>
      <c r="I11" s="26" t="inlineStr"/>
      <c r="J11" s="26" t="inlineStr"/>
      <c r="K11" s="26" t="inlineStr"/>
      <c r="L11" s="16" t="inlineStr">
        <is>
          <t>Kritik</t>
        </is>
      </c>
      <c r="M11" s="18" t="inlineStr"/>
    </row>
    <row r="12" ht="40" customHeight="1">
      <c r="A12" s="14" t="inlineStr">
        <is>
          <t>W02-009</t>
        </is>
      </c>
      <c r="B12" s="25" t="inlineStr">
        <is>
          <t>W02</t>
        </is>
      </c>
      <c r="C12" s="6" t="inlineStr">
        <is>
          <t>Misafir OTP — geçerli kod ile doğrulama</t>
        </is>
      </c>
      <c r="D12" s="6" t="inlineStr">
        <is>
          <t>OTP gönderilmiş.</t>
        </is>
      </c>
      <c r="E12" s="6" t="inlineStr">
        <is>
          <t>1. 6 haneli doğru kodu gir
2. Doğrula</t>
        </is>
      </c>
      <c r="F12" s="6" t="inlineStr">
        <is>
          <t>Doğrulama başarılı; ödeme adımına geçilir.</t>
        </is>
      </c>
      <c r="G12" s="6" t="inlineStr"/>
      <c r="H12" s="14" t="inlineStr">
        <is>
          <t>Beklemede</t>
        </is>
      </c>
      <c r="I12" s="25" t="inlineStr"/>
      <c r="J12" s="25" t="inlineStr"/>
      <c r="K12" s="25" t="inlineStr"/>
      <c r="L12" s="14" t="inlineStr">
        <is>
          <t>Kritik</t>
        </is>
      </c>
      <c r="M12" s="6" t="inlineStr"/>
    </row>
    <row r="13" ht="40" customHeight="1">
      <c r="A13" s="16" t="inlineStr">
        <is>
          <t>W02-010</t>
        </is>
      </c>
      <c r="B13" s="26" t="inlineStr">
        <is>
          <t>W02</t>
        </is>
      </c>
      <c r="C13" s="18" t="inlineStr">
        <is>
          <t>Misafir OTP — yanlış kod denemesi</t>
        </is>
      </c>
      <c r="D13" s="18" t="inlineStr">
        <is>
          <t>OTP gönderilmiş.</t>
        </is>
      </c>
      <c r="E13" s="18" t="inlineStr">
        <is>
          <t>1. Yanlış kod gir, Doğrula</t>
        </is>
      </c>
      <c r="F13" s="18" t="inlineStr">
        <is>
          <t>Hata mesajı; deneme hakkı azalır.</t>
        </is>
      </c>
      <c r="G13" s="18" t="inlineStr"/>
      <c r="H13" s="16" t="inlineStr">
        <is>
          <t>Beklemede</t>
        </is>
      </c>
      <c r="I13" s="26" t="inlineStr"/>
      <c r="J13" s="26" t="inlineStr"/>
      <c r="K13" s="26" t="inlineStr"/>
      <c r="L13" s="16" t="inlineStr">
        <is>
          <t>Orta</t>
        </is>
      </c>
      <c r="M13" s="18" t="inlineStr"/>
    </row>
    <row r="14" ht="40" customHeight="1">
      <c r="A14" s="14" t="inlineStr">
        <is>
          <t>W02-011</t>
        </is>
      </c>
      <c r="B14" s="25" t="inlineStr">
        <is>
          <t>W02</t>
        </is>
      </c>
      <c r="C14" s="6" t="inlineStr">
        <is>
          <t>Misafir OTP — 5 yanlış denemeden sonra rate-limit</t>
        </is>
      </c>
      <c r="D14" s="6" t="inlineStr">
        <is>
          <t>5 yanlış deneme yapıldı.</t>
        </is>
      </c>
      <c r="E14" s="6" t="inlineStr">
        <is>
          <t>1. 6. denemeyi yap</t>
        </is>
      </c>
      <c r="F14" s="6" t="inlineStr">
        <is>
          <t>“Çok fazla deneme, lütfen sonra tekrar deneyin” mesajı; 1 saat blok.</t>
        </is>
      </c>
      <c r="G14" s="6" t="inlineStr"/>
      <c r="H14" s="14" t="inlineStr">
        <is>
          <t>Beklemede</t>
        </is>
      </c>
      <c r="I14" s="25" t="inlineStr"/>
      <c r="J14" s="25" t="inlineStr"/>
      <c r="K14" s="25" t="inlineStr"/>
      <c r="L14" s="14" t="inlineStr">
        <is>
          <t>Yüksek</t>
        </is>
      </c>
      <c r="M14" s="6" t="inlineStr"/>
    </row>
    <row r="15" ht="40" customHeight="1">
      <c r="A15" s="16" t="inlineStr">
        <is>
          <t>W02-012</t>
        </is>
      </c>
      <c r="B15" s="26" t="inlineStr">
        <is>
          <t>W02</t>
        </is>
      </c>
      <c r="C15" s="18" t="inlineStr">
        <is>
          <t>OTP yeniden gönder cooldown</t>
        </is>
      </c>
      <c r="D15" s="18" t="inlineStr">
        <is>
          <t>Az önce kod gönderildi.</t>
        </is>
      </c>
      <c r="E15" s="18" t="inlineStr">
        <is>
          <t>1. Hemen yeniden 'Kod Gönder'e bas</t>
        </is>
      </c>
      <c r="F15" s="18" t="inlineStr">
        <is>
          <t>60 sn cooldown; sayaç görünür.</t>
        </is>
      </c>
      <c r="G15" s="18" t="inlineStr"/>
      <c r="H15" s="16" t="inlineStr">
        <is>
          <t>Beklemede</t>
        </is>
      </c>
      <c r="I15" s="26" t="inlineStr"/>
      <c r="J15" s="26" t="inlineStr"/>
      <c r="K15" s="26" t="inlineStr"/>
      <c r="L15" s="16" t="inlineStr">
        <is>
          <t>Orta</t>
        </is>
      </c>
      <c r="M15" s="18" t="inlineStr"/>
    </row>
    <row r="16" ht="40" customHeight="1">
      <c r="A16" s="14" t="inlineStr">
        <is>
          <t>W02-013</t>
        </is>
      </c>
      <c r="B16" s="25" t="inlineStr">
        <is>
          <t>W02</t>
        </is>
      </c>
      <c r="C16" s="6" t="inlineStr">
        <is>
          <t>Süresi dolmuş OTP</t>
        </is>
      </c>
      <c r="D16" s="6" t="inlineStr">
        <is>
          <t>10+ dakika beklenmiş.</t>
        </is>
      </c>
      <c r="E16" s="6" t="inlineStr">
        <is>
          <t>1. Eski kodu gir</t>
        </is>
      </c>
      <c r="F16" s="6" t="inlineStr">
        <is>
          <t>“Kodun süresi doldu, yeniden talep edin.”</t>
        </is>
      </c>
      <c r="G16" s="6" t="inlineStr"/>
      <c r="H16" s="14" t="inlineStr">
        <is>
          <t>Beklemede</t>
        </is>
      </c>
      <c r="I16" s="25" t="inlineStr"/>
      <c r="J16" s="25" t="inlineStr"/>
      <c r="K16" s="25" t="inlineStr"/>
      <c r="L16" s="14" t="inlineStr">
        <is>
          <t>Orta</t>
        </is>
      </c>
      <c r="M16" s="6" t="inlineStr"/>
    </row>
    <row r="19">
      <c r="A19" s="27" t="inlineStr">
        <is>
          <t>Bu sayfadaki tüm senaryolar test edilmiş ve sonuçlar yukarıda işaretlenmiştir.</t>
        </is>
      </c>
    </row>
    <row r="20">
      <c r="A20" s="28" t="inlineStr">
        <is>
          <t>Test Eden (Tarodan)</t>
        </is>
      </c>
      <c r="D20" s="28" t="inlineStr">
        <is>
          <t>Tarih</t>
        </is>
      </c>
      <c r="G20" s="28" t="inlineStr">
        <is>
          <t>Onaylayan (Müşteri)</t>
        </is>
      </c>
      <c r="J20" s="28" t="inlineStr">
        <is>
          <t>Tarih</t>
        </is>
      </c>
    </row>
    <row r="21">
      <c r="A21" s="7" t="n"/>
      <c r="D21" s="7" t="n"/>
      <c r="G21" s="7" t="n"/>
      <c r="J21" s="7" t="n"/>
    </row>
  </sheetData>
  <mergeCells count="7">
    <mergeCell ref="G21:H21"/>
    <mergeCell ref="A19:M19"/>
    <mergeCell ref="A21:B21"/>
    <mergeCell ref="J21:K21"/>
    <mergeCell ref="A1:M1"/>
    <mergeCell ref="A2:M2"/>
    <mergeCell ref="D21:E21"/>
  </mergeCells>
  <conditionalFormatting sqref="H4:H16">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6" showDropDown="0" showInputMessage="0" showErrorMessage="0" allowBlank="1" errorTitle="Geçersiz değer" error="Lütfen listedeki seçeneklerden birini seçin." type="list">
      <formula1>"Beklemede,Geçti,Kaldı,Bloke,Yapılamadı,N/A"</formula1>
    </dataValidation>
    <dataValidation sqref="L4:L16" showDropDown="0" showInputMessage="0" showErrorMessage="0" allowBlank="1" type="list">
      <formula1>"Kritik,Yüksek,Orta,Düşük"</formula1>
    </dataValidation>
    <dataValidation sqref="K4:K16"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W03 — Anasayfa, Listeleme, Arama, Kategori, Marka, Üretici</t>
        </is>
      </c>
    </row>
    <row r="2" ht="28" customHeight="1">
      <c r="A2" s="24" t="inlineStr">
        <is>
          <t>Misafir/üye gezinme, filtreleme, sıralama, sonuç listeleri.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W03-001</t>
        </is>
      </c>
      <c r="B4" s="25" t="inlineStr">
        <is>
          <t>W03</t>
        </is>
      </c>
      <c r="C4" s="6" t="inlineStr">
        <is>
          <t>Anasayfa açılışı</t>
        </is>
      </c>
      <c r="D4" s="6" t="inlineStr">
        <is>
          <t>—</t>
        </is>
      </c>
      <c r="E4" s="6" t="inlineStr">
        <is>
          <t>1. / adresine git</t>
        </is>
      </c>
      <c r="F4" s="6" t="inlineStr">
        <is>
          <t>Hero, marka carousel, indirimli ürünler, popüler ilanlar, koleksiyonlar yüklenir; kırılma yok.</t>
        </is>
      </c>
      <c r="G4" s="6" t="inlineStr"/>
      <c r="H4" s="14" t="inlineStr">
        <is>
          <t>Beklemede</t>
        </is>
      </c>
      <c r="I4" s="25" t="inlineStr"/>
      <c r="J4" s="25" t="inlineStr"/>
      <c r="K4" s="25" t="inlineStr"/>
      <c r="L4" s="14" t="inlineStr">
        <is>
          <t>Kritik</t>
        </is>
      </c>
      <c r="M4" s="6" t="inlineStr"/>
    </row>
    <row r="5" ht="40" customHeight="1">
      <c r="A5" s="16" t="inlineStr">
        <is>
          <t>W03-002</t>
        </is>
      </c>
      <c r="B5" s="26" t="inlineStr">
        <is>
          <t>W03</t>
        </is>
      </c>
      <c r="C5" s="18" t="inlineStr">
        <is>
          <t>Genel arama (üst bar)</t>
        </is>
      </c>
      <c r="D5" s="18" t="inlineStr">
        <is>
          <t>—</t>
        </is>
      </c>
      <c r="E5" s="18" t="inlineStr">
        <is>
          <t>1. Üst arama kutusuna anahtar kelime gir, Enter</t>
        </is>
      </c>
      <c r="F5" s="18" t="inlineStr">
        <is>
          <t>/search sayfası açılır, sonuçlar relevansa göre listelenir.</t>
        </is>
      </c>
      <c r="G5" s="18" t="inlineStr"/>
      <c r="H5" s="16" t="inlineStr">
        <is>
          <t>Beklemede</t>
        </is>
      </c>
      <c r="I5" s="26" t="inlineStr"/>
      <c r="J5" s="26" t="inlineStr"/>
      <c r="K5" s="26" t="inlineStr"/>
      <c r="L5" s="16" t="inlineStr">
        <is>
          <t>Orta</t>
        </is>
      </c>
      <c r="M5" s="18" t="inlineStr"/>
    </row>
    <row r="6" ht="40" customHeight="1">
      <c r="A6" s="14" t="inlineStr">
        <is>
          <t>W03-003</t>
        </is>
      </c>
      <c r="B6" s="25" t="inlineStr">
        <is>
          <t>W03</t>
        </is>
      </c>
      <c r="C6" s="6" t="inlineStr">
        <is>
          <t>Boş sonuçlu arama</t>
        </is>
      </c>
      <c r="D6" s="6" t="inlineStr">
        <is>
          <t>—</t>
        </is>
      </c>
      <c r="E6" s="6" t="inlineStr">
        <is>
          <t>1. Var olmayan bir kelime ara</t>
        </is>
      </c>
      <c r="F6" s="6" t="inlineStr">
        <is>
          <t>“Sonuç bulunamadı” boş durum kartı; öneriler gösterilir.</t>
        </is>
      </c>
      <c r="G6" s="6" t="inlineStr"/>
      <c r="H6" s="14" t="inlineStr">
        <is>
          <t>Beklemede</t>
        </is>
      </c>
      <c r="I6" s="25" t="inlineStr"/>
      <c r="J6" s="25" t="inlineStr"/>
      <c r="K6" s="25" t="inlineStr"/>
      <c r="L6" s="14" t="inlineStr">
        <is>
          <t>Orta</t>
        </is>
      </c>
      <c r="M6" s="6" t="inlineStr"/>
    </row>
    <row r="7" ht="40" customHeight="1">
      <c r="A7" s="16" t="inlineStr">
        <is>
          <t>W03-004</t>
        </is>
      </c>
      <c r="B7" s="26" t="inlineStr">
        <is>
          <t>W03</t>
        </is>
      </c>
      <c r="C7" s="18" t="inlineStr">
        <is>
          <t>Kategori sayfasını açma</t>
        </is>
      </c>
      <c r="D7" s="18" t="inlineStr">
        <is>
          <t>Aktif bir kategori var.</t>
        </is>
      </c>
      <c r="E7" s="18" t="inlineStr">
        <is>
          <t>1. /category/[slug] aç</t>
        </is>
      </c>
      <c r="F7" s="18" t="inlineStr">
        <is>
          <t>Kategori başlığı, ürünler ve filtre paneli görünür.</t>
        </is>
      </c>
      <c r="G7" s="18" t="inlineStr"/>
      <c r="H7" s="16" t="inlineStr">
        <is>
          <t>Beklemede</t>
        </is>
      </c>
      <c r="I7" s="26" t="inlineStr"/>
      <c r="J7" s="26" t="inlineStr"/>
      <c r="K7" s="26" t="inlineStr"/>
      <c r="L7" s="16" t="inlineStr">
        <is>
          <t>Orta</t>
        </is>
      </c>
      <c r="M7" s="18" t="inlineStr"/>
    </row>
    <row r="8" ht="48" customHeight="1">
      <c r="A8" s="14" t="inlineStr">
        <is>
          <t>W03-005</t>
        </is>
      </c>
      <c r="B8" s="25" t="inlineStr">
        <is>
          <t>W03</t>
        </is>
      </c>
      <c r="C8" s="6" t="inlineStr">
        <is>
          <t>Filtre uygulama (marka, fiyat, durum)</t>
        </is>
      </c>
      <c r="D8" s="6" t="inlineStr">
        <is>
          <t>Kategori sayfasında.</t>
        </is>
      </c>
      <c r="E8" s="6" t="inlineStr">
        <is>
          <t>1. Filtreden marka seç
2. Min-max fiyat gir
3. Durum seç</t>
        </is>
      </c>
      <c r="F8" s="6" t="inlineStr">
        <is>
          <t>Liste gerçek zamanlı güncellenir; URL'ye filtre query'si eklenir.</t>
        </is>
      </c>
      <c r="G8" s="6" t="inlineStr"/>
      <c r="H8" s="14" t="inlineStr">
        <is>
          <t>Beklemede</t>
        </is>
      </c>
      <c r="I8" s="25" t="inlineStr"/>
      <c r="J8" s="25" t="inlineStr"/>
      <c r="K8" s="25" t="inlineStr"/>
      <c r="L8" s="14" t="inlineStr">
        <is>
          <t>Orta</t>
        </is>
      </c>
      <c r="M8" s="6" t="inlineStr"/>
    </row>
    <row r="9" ht="40" customHeight="1">
      <c r="A9" s="16" t="inlineStr">
        <is>
          <t>W03-006</t>
        </is>
      </c>
      <c r="B9" s="26" t="inlineStr">
        <is>
          <t>W03</t>
        </is>
      </c>
      <c r="C9" s="18" t="inlineStr">
        <is>
          <t>Filtreleri temizle</t>
        </is>
      </c>
      <c r="D9" s="18" t="inlineStr">
        <is>
          <t>Birkaç filtre aktif.</t>
        </is>
      </c>
      <c r="E9" s="18" t="inlineStr">
        <is>
          <t>1. 'Filtreleri Temizle'ye bas</t>
        </is>
      </c>
      <c r="F9" s="18" t="inlineStr">
        <is>
          <t>Tüm filtreler kalkar, tüm liste döner.</t>
        </is>
      </c>
      <c r="G9" s="18" t="inlineStr"/>
      <c r="H9" s="16" t="inlineStr">
        <is>
          <t>Beklemede</t>
        </is>
      </c>
      <c r="I9" s="26" t="inlineStr"/>
      <c r="J9" s="26" t="inlineStr"/>
      <c r="K9" s="26" t="inlineStr"/>
      <c r="L9" s="16" t="inlineStr">
        <is>
          <t>Orta</t>
        </is>
      </c>
      <c r="M9" s="18" t="inlineStr"/>
    </row>
    <row r="10" ht="40" customHeight="1">
      <c r="A10" s="14" t="inlineStr">
        <is>
          <t>W03-007</t>
        </is>
      </c>
      <c r="B10" s="25" t="inlineStr">
        <is>
          <t>W03</t>
        </is>
      </c>
      <c r="C10" s="6" t="inlineStr">
        <is>
          <t>Sıralama (yeni, popüler, fiyat artan/azalan)</t>
        </is>
      </c>
      <c r="D10" s="6" t="inlineStr">
        <is>
          <t>Liste sayfası açık.</t>
        </is>
      </c>
      <c r="E10" s="6" t="inlineStr">
        <is>
          <t>1. Sıralama dropdown'undan farklı seçenekleri dene</t>
        </is>
      </c>
      <c r="F10" s="6" t="inlineStr">
        <is>
          <t>Liste her seçimde doğru sıralanır.</t>
        </is>
      </c>
      <c r="G10" s="6" t="inlineStr"/>
      <c r="H10" s="14" t="inlineStr">
        <is>
          <t>Beklemede</t>
        </is>
      </c>
      <c r="I10" s="25" t="inlineStr"/>
      <c r="J10" s="25" t="inlineStr"/>
      <c r="K10" s="25" t="inlineStr"/>
      <c r="L10" s="14" t="inlineStr">
        <is>
          <t>Orta</t>
        </is>
      </c>
      <c r="M10" s="6" t="inlineStr"/>
    </row>
    <row r="11" ht="40" customHeight="1">
      <c r="A11" s="16" t="inlineStr">
        <is>
          <t>W03-008</t>
        </is>
      </c>
      <c r="B11" s="26" t="inlineStr">
        <is>
          <t>W03</t>
        </is>
      </c>
      <c r="C11" s="18" t="inlineStr">
        <is>
          <t>Grid / liste görünüm değiştirme</t>
        </is>
      </c>
      <c r="D11" s="18" t="inlineStr">
        <is>
          <t>—</t>
        </is>
      </c>
      <c r="E11" s="18" t="inlineStr">
        <is>
          <t>1. Grid → Liste, Liste → Grid butonlarına bas</t>
        </is>
      </c>
      <c r="F11" s="18" t="inlineStr">
        <is>
          <t>Görünüm değişir, kullanıcı tercihi sayfa yenilense bile (mümkünse) korunur.</t>
        </is>
      </c>
      <c r="G11" s="18" t="inlineStr"/>
      <c r="H11" s="16" t="inlineStr">
        <is>
          <t>Beklemede</t>
        </is>
      </c>
      <c r="I11" s="26" t="inlineStr"/>
      <c r="J11" s="26" t="inlineStr"/>
      <c r="K11" s="26" t="inlineStr"/>
      <c r="L11" s="16" t="inlineStr">
        <is>
          <t>Orta</t>
        </is>
      </c>
      <c r="M11" s="18" t="inlineStr"/>
    </row>
    <row r="12" ht="40" customHeight="1">
      <c r="A12" s="14" t="inlineStr">
        <is>
          <t>W03-009</t>
        </is>
      </c>
      <c r="B12" s="25" t="inlineStr">
        <is>
          <t>W03</t>
        </is>
      </c>
      <c r="C12" s="6" t="inlineStr">
        <is>
          <t>Sayfalama (pagination)</t>
        </is>
      </c>
      <c r="D12" s="6" t="inlineStr">
        <is>
          <t>Çok ürünlü kategori.</t>
        </is>
      </c>
      <c r="E12" s="6" t="inlineStr">
        <is>
          <t>1. Alttan ileri/geri sayfa butonlarını kullan</t>
        </is>
      </c>
      <c r="F12" s="6" t="inlineStr">
        <is>
          <t>Sayfa numarası ve URL güncellenir; ürünler değişir; scroll üste döner.</t>
        </is>
      </c>
      <c r="G12" s="6" t="inlineStr"/>
      <c r="H12" s="14" t="inlineStr">
        <is>
          <t>Beklemede</t>
        </is>
      </c>
      <c r="I12" s="25" t="inlineStr"/>
      <c r="J12" s="25" t="inlineStr"/>
      <c r="K12" s="25" t="inlineStr"/>
      <c r="L12" s="14" t="inlineStr">
        <is>
          <t>Orta</t>
        </is>
      </c>
      <c r="M12" s="6" t="inlineStr"/>
    </row>
    <row r="13" ht="40" customHeight="1">
      <c r="A13" s="16" t="inlineStr">
        <is>
          <t>W03-010</t>
        </is>
      </c>
      <c r="B13" s="26" t="inlineStr">
        <is>
          <t>W03</t>
        </is>
      </c>
      <c r="C13" s="18" t="inlineStr">
        <is>
          <t>Marka detay sayfası</t>
        </is>
      </c>
      <c r="D13" s="18" t="inlineStr">
        <is>
          <t>—</t>
        </is>
      </c>
      <c r="E13" s="18" t="inlineStr">
        <is>
          <t>1. /brands listesinden bir markaya tıkla</t>
        </is>
      </c>
      <c r="F13" s="18" t="inlineStr">
        <is>
          <t>/brands/[slug] açılır; markanın ürünleri görünür.</t>
        </is>
      </c>
      <c r="G13" s="18" t="inlineStr"/>
      <c r="H13" s="16" t="inlineStr">
        <is>
          <t>Beklemede</t>
        </is>
      </c>
      <c r="I13" s="26" t="inlineStr"/>
      <c r="J13" s="26" t="inlineStr"/>
      <c r="K13" s="26" t="inlineStr"/>
      <c r="L13" s="16" t="inlineStr">
        <is>
          <t>Orta</t>
        </is>
      </c>
      <c r="M13" s="18" t="inlineStr"/>
    </row>
    <row r="14" ht="40" customHeight="1">
      <c r="A14" s="14" t="inlineStr">
        <is>
          <t>W03-011</t>
        </is>
      </c>
      <c r="B14" s="25" t="inlineStr">
        <is>
          <t>W03</t>
        </is>
      </c>
      <c r="C14" s="6" t="inlineStr">
        <is>
          <t>Üretici detay sayfası (TR slug)</t>
        </is>
      </c>
      <c r="D14" s="6" t="inlineStr">
        <is>
          <t>—</t>
        </is>
      </c>
      <c r="E14" s="6" t="inlineStr">
        <is>
          <t>1. /ureticiler aç, bir üreticiye tıkla</t>
        </is>
      </c>
      <c r="F14" s="6" t="inlineStr">
        <is>
          <t>/ureticiler/[slug] açılır.</t>
        </is>
      </c>
      <c r="G14" s="6" t="inlineStr"/>
      <c r="H14" s="14" t="inlineStr">
        <is>
          <t>Beklemede</t>
        </is>
      </c>
      <c r="I14" s="25" t="inlineStr"/>
      <c r="J14" s="25" t="inlineStr"/>
      <c r="K14" s="25" t="inlineStr"/>
      <c r="L14" s="14" t="inlineStr">
        <is>
          <t>Orta</t>
        </is>
      </c>
      <c r="M14" s="6" t="inlineStr"/>
    </row>
    <row r="15" ht="40" customHeight="1">
      <c r="A15" s="16" t="inlineStr">
        <is>
          <t>W03-012</t>
        </is>
      </c>
      <c r="B15" s="26" t="inlineStr">
        <is>
          <t>W03</t>
        </is>
      </c>
      <c r="C15" s="18" t="inlineStr">
        <is>
          <t>Model detay sayfası</t>
        </is>
      </c>
      <c r="D15" s="18" t="inlineStr">
        <is>
          <t>—</t>
        </is>
      </c>
      <c r="E15" s="18" t="inlineStr">
        <is>
          <t>1. /models aç, bir modele tıkla</t>
        </is>
      </c>
      <c r="F15" s="18" t="inlineStr">
        <is>
          <t>/models/[slug] açılır.</t>
        </is>
      </c>
      <c r="G15" s="18" t="inlineStr"/>
      <c r="H15" s="16" t="inlineStr">
        <is>
          <t>Beklemede</t>
        </is>
      </c>
      <c r="I15" s="26" t="inlineStr"/>
      <c r="J15" s="26" t="inlineStr"/>
      <c r="K15" s="26" t="inlineStr"/>
      <c r="L15" s="16" t="inlineStr">
        <is>
          <t>Orta</t>
        </is>
      </c>
      <c r="M15" s="18" t="inlineStr"/>
    </row>
    <row r="16" ht="40" customHeight="1">
      <c r="A16" s="14" t="inlineStr">
        <is>
          <t>W03-013</t>
        </is>
      </c>
      <c r="B16" s="25" t="inlineStr">
        <is>
          <t>W03</t>
        </is>
      </c>
      <c r="C16" s="6" t="inlineStr">
        <is>
          <t>Mağaza (satıcı) profili</t>
        </is>
      </c>
      <c r="D16" s="6" t="inlineStr">
        <is>
          <t>—</t>
        </is>
      </c>
      <c r="E16" s="6" t="inlineStr">
        <is>
          <t>1. Bir ürün kartında satıcı adına tıkla</t>
        </is>
      </c>
      <c r="F16" s="6" t="inlineStr">
        <is>
          <t>/seller/[id] açılır; satıcının ürünleri, rating, koleksiyonları görünür.</t>
        </is>
      </c>
      <c r="G16" s="6" t="inlineStr"/>
      <c r="H16" s="14" t="inlineStr">
        <is>
          <t>Beklemede</t>
        </is>
      </c>
      <c r="I16" s="25" t="inlineStr"/>
      <c r="J16" s="25" t="inlineStr"/>
      <c r="K16" s="25" t="inlineStr"/>
      <c r="L16" s="14" t="inlineStr">
        <is>
          <t>Orta</t>
        </is>
      </c>
      <c r="M16" s="6" t="inlineStr"/>
    </row>
    <row r="17" ht="40" customHeight="1">
      <c r="A17" s="16" t="inlineStr">
        <is>
          <t>W03-014</t>
        </is>
      </c>
      <c r="B17" s="26" t="inlineStr">
        <is>
          <t>W03</t>
        </is>
      </c>
      <c r="C17" s="18" t="inlineStr">
        <is>
          <t>Son aramalar</t>
        </is>
      </c>
      <c r="D17" s="18" t="inlineStr">
        <is>
          <t>Birkaç kez arama yapılmış.</t>
        </is>
      </c>
      <c r="E17" s="18" t="inlineStr">
        <is>
          <t>1. Arama kutusuna odaklan</t>
        </is>
      </c>
      <c r="F17" s="18" t="inlineStr">
        <is>
          <t>Son arama önerileri dropdown'da listelenir.</t>
        </is>
      </c>
      <c r="G17" s="18" t="inlineStr"/>
      <c r="H17" s="16" t="inlineStr">
        <is>
          <t>Beklemede</t>
        </is>
      </c>
      <c r="I17" s="26" t="inlineStr"/>
      <c r="J17" s="26" t="inlineStr"/>
      <c r="K17" s="26" t="inlineStr"/>
      <c r="L17" s="16" t="inlineStr">
        <is>
          <t>Orta</t>
        </is>
      </c>
      <c r="M17" s="18" t="inlineStr"/>
    </row>
    <row r="20">
      <c r="A20" s="27" t="inlineStr">
        <is>
          <t>Bu sayfadaki tüm senaryolar test edilmiş ve sonuçlar yukarıda işaretlenmiştir.</t>
        </is>
      </c>
    </row>
    <row r="21">
      <c r="A21" s="28" t="inlineStr">
        <is>
          <t>Test Eden (Tarodan)</t>
        </is>
      </c>
      <c r="D21" s="28" t="inlineStr">
        <is>
          <t>Tarih</t>
        </is>
      </c>
      <c r="G21" s="28" t="inlineStr">
        <is>
          <t>Onaylayan (Müşteri)</t>
        </is>
      </c>
      <c r="J21" s="28" t="inlineStr">
        <is>
          <t>Tarih</t>
        </is>
      </c>
    </row>
    <row r="22">
      <c r="A22" s="7" t="n"/>
      <c r="D22" s="7" t="n"/>
      <c r="G22" s="7" t="n"/>
      <c r="J22" s="7" t="n"/>
    </row>
  </sheetData>
  <mergeCells count="7">
    <mergeCell ref="A1:M1"/>
    <mergeCell ref="J22:K22"/>
    <mergeCell ref="D22:E22"/>
    <mergeCell ref="G22:H22"/>
    <mergeCell ref="A20:M20"/>
    <mergeCell ref="A2:M2"/>
    <mergeCell ref="A22:B22"/>
  </mergeCells>
  <conditionalFormatting sqref="H4:H1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7" showDropDown="0" showInputMessage="0" showErrorMessage="0" allowBlank="1" errorTitle="Geçersiz değer" error="Lütfen listedeki seçeneklerden birini seçin." type="list">
      <formula1>"Beklemede,Geçti,Kaldı,Bloke,Yapılamadı,N/A"</formula1>
    </dataValidation>
    <dataValidation sqref="L4:L17" showDropDown="0" showInputMessage="0" showErrorMessage="0" allowBlank="1" type="list">
      <formula1>"Kritik,Yüksek,Orta,Düşük"</formula1>
    </dataValidation>
    <dataValidation sqref="K4:K1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W04 — Ürün Detay Sayfası</t>
        </is>
      </c>
    </row>
    <row r="2" ht="28" customHeight="1">
      <c r="A2" s="24" t="inlineStr">
        <is>
          <t>Ürün galerisi, satıcı bilgisi, sepete ekleme, teklif, mesaj, favori.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W04-001</t>
        </is>
      </c>
      <c r="B4" s="25" t="inlineStr">
        <is>
          <t>W04</t>
        </is>
      </c>
      <c r="C4" s="6" t="inlineStr">
        <is>
          <t>Ürün detayı yükleme</t>
        </is>
      </c>
      <c r="D4" s="6" t="inlineStr">
        <is>
          <t>Aktif bir ürün ID'si.</t>
        </is>
      </c>
      <c r="E4" s="6" t="inlineStr">
        <is>
          <t>1. /listings/[id] aç</t>
        </is>
      </c>
      <c r="F4" s="6" t="inlineStr">
        <is>
          <t>Tüm görseller, başlık, fiyat, satıcı kartı, açıklama eksiksiz yüklenir.</t>
        </is>
      </c>
      <c r="G4" s="6" t="inlineStr"/>
      <c r="H4" s="14" t="inlineStr">
        <is>
          <t>Beklemede</t>
        </is>
      </c>
      <c r="I4" s="25" t="inlineStr"/>
      <c r="J4" s="25" t="inlineStr"/>
      <c r="K4" s="25" t="inlineStr"/>
      <c r="L4" s="14" t="inlineStr">
        <is>
          <t>Kritik</t>
        </is>
      </c>
      <c r="M4" s="6" t="inlineStr"/>
    </row>
    <row r="5" ht="40" customHeight="1">
      <c r="A5" s="16" t="inlineStr">
        <is>
          <t>W04-002</t>
        </is>
      </c>
      <c r="B5" s="26" t="inlineStr">
        <is>
          <t>W04</t>
        </is>
      </c>
      <c r="C5" s="18" t="inlineStr">
        <is>
          <t>Görsel galeri ve zoom</t>
        </is>
      </c>
      <c r="D5" s="18" t="inlineStr">
        <is>
          <t>Çoklu görselli ürün.</t>
        </is>
      </c>
      <c r="E5" s="18" t="inlineStr">
        <is>
          <t>1. Küçük görsellere tıkla, ana görsel değişir
2. Görselin üzerine gel — zoom çalışır</t>
        </is>
      </c>
      <c r="F5" s="18" t="inlineStr">
        <is>
          <t>Galeri sorunsuz çalışır; mobilde swipe destekler.</t>
        </is>
      </c>
      <c r="G5" s="18" t="inlineStr"/>
      <c r="H5" s="16" t="inlineStr">
        <is>
          <t>Beklemede</t>
        </is>
      </c>
      <c r="I5" s="26" t="inlineStr"/>
      <c r="J5" s="26" t="inlineStr"/>
      <c r="K5" s="26" t="inlineStr"/>
      <c r="L5" s="16" t="inlineStr">
        <is>
          <t>Orta</t>
        </is>
      </c>
      <c r="M5" s="18" t="inlineStr"/>
    </row>
    <row r="6" ht="40" customHeight="1">
      <c r="A6" s="14" t="inlineStr">
        <is>
          <t>W04-003</t>
        </is>
      </c>
      <c r="B6" s="25" t="inlineStr">
        <is>
          <t>W04</t>
        </is>
      </c>
      <c r="C6" s="6" t="inlineStr">
        <is>
          <t>Sepete ekle (üye)</t>
        </is>
      </c>
      <c r="D6" s="6" t="inlineStr">
        <is>
          <t>Giriş yapmış kullanıcı.</t>
        </is>
      </c>
      <c r="E6" s="6" t="inlineStr">
        <is>
          <t>1. Sepete Ekle butonuna bas</t>
        </is>
      </c>
      <c r="F6" s="6" t="inlineStr">
        <is>
          <t>Sepet sayacı 1 artar; toast bildirim görünür.</t>
        </is>
      </c>
      <c r="G6" s="6" t="inlineStr"/>
      <c r="H6" s="14" t="inlineStr">
        <is>
          <t>Beklemede</t>
        </is>
      </c>
      <c r="I6" s="25" t="inlineStr"/>
      <c r="J6" s="25" t="inlineStr"/>
      <c r="K6" s="25" t="inlineStr"/>
      <c r="L6" s="14" t="inlineStr">
        <is>
          <t>Kritik</t>
        </is>
      </c>
      <c r="M6" s="6" t="inlineStr"/>
    </row>
    <row r="7" ht="40" customHeight="1">
      <c r="A7" s="16" t="inlineStr">
        <is>
          <t>W04-004</t>
        </is>
      </c>
      <c r="B7" s="26" t="inlineStr">
        <is>
          <t>W04</t>
        </is>
      </c>
      <c r="C7" s="18" t="inlineStr">
        <is>
          <t>Sepete ekle (misafir)</t>
        </is>
      </c>
      <c r="D7" s="18" t="inlineStr">
        <is>
          <t>Çıkış yapılmış oturum.</t>
        </is>
      </c>
      <c r="E7" s="18" t="inlineStr">
        <is>
          <t>1. Sepete Ekle</t>
        </is>
      </c>
      <c r="F7" s="18" t="inlineStr">
        <is>
          <t>Misafir sepetine eklenir (localStorage); sayaç güncellenir.</t>
        </is>
      </c>
      <c r="G7" s="18" t="inlineStr"/>
      <c r="H7" s="16" t="inlineStr">
        <is>
          <t>Beklemede</t>
        </is>
      </c>
      <c r="I7" s="26" t="inlineStr"/>
      <c r="J7" s="26" t="inlineStr"/>
      <c r="K7" s="26" t="inlineStr"/>
      <c r="L7" s="16" t="inlineStr">
        <is>
          <t>Orta</t>
        </is>
      </c>
      <c r="M7" s="18" t="inlineStr"/>
    </row>
    <row r="8" ht="40" customHeight="1">
      <c r="A8" s="14" t="inlineStr">
        <is>
          <t>W04-005</t>
        </is>
      </c>
      <c r="B8" s="25" t="inlineStr">
        <is>
          <t>W04</t>
        </is>
      </c>
      <c r="C8" s="6" t="inlineStr">
        <is>
          <t>Stok tükenmiş ürün</t>
        </is>
      </c>
      <c r="D8" s="6" t="inlineStr">
        <is>
          <t>Quantity = 0.</t>
        </is>
      </c>
      <c r="E8" s="6" t="inlineStr">
        <is>
          <t>1. Ürün detayını aç</t>
        </is>
      </c>
      <c r="F8" s="6" t="inlineStr">
        <is>
          <t>“Satıldı” rozeti görünür; sepete ekle disabled; teklif/mesaj hala mümkün.</t>
        </is>
      </c>
      <c r="G8" s="6" t="inlineStr"/>
      <c r="H8" s="14" t="inlineStr">
        <is>
          <t>Beklemede</t>
        </is>
      </c>
      <c r="I8" s="25" t="inlineStr"/>
      <c r="J8" s="25" t="inlineStr"/>
      <c r="K8" s="25" t="inlineStr"/>
      <c r="L8" s="14" t="inlineStr">
        <is>
          <t>Orta</t>
        </is>
      </c>
      <c r="M8" s="6" t="inlineStr"/>
    </row>
    <row r="9" ht="40" customHeight="1">
      <c r="A9" s="16" t="inlineStr">
        <is>
          <t>W04-006</t>
        </is>
      </c>
      <c r="B9" s="26" t="inlineStr">
        <is>
          <t>W04</t>
        </is>
      </c>
      <c r="C9" s="18" t="inlineStr">
        <is>
          <t>Kendi ürününü görüntüleme</t>
        </is>
      </c>
      <c r="D9" s="18" t="inlineStr">
        <is>
          <t>Satıcı, kendi ilanına bakıyor.</t>
        </is>
      </c>
      <c r="E9" s="18" t="inlineStr">
        <is>
          <t>1. Kendi ilanını aç</t>
        </is>
      </c>
      <c r="F9" s="18" t="inlineStr">
        <is>
          <t>Sepete Ekle/Teklif yerine 'Düzenle' / 'İlanı Kapat' butonları görünür.</t>
        </is>
      </c>
      <c r="G9" s="18" t="inlineStr"/>
      <c r="H9" s="16" t="inlineStr">
        <is>
          <t>Beklemede</t>
        </is>
      </c>
      <c r="I9" s="26" t="inlineStr"/>
      <c r="J9" s="26" t="inlineStr"/>
      <c r="K9" s="26" t="inlineStr"/>
      <c r="L9" s="16" t="inlineStr">
        <is>
          <t>Orta</t>
        </is>
      </c>
      <c r="M9" s="18" t="inlineStr"/>
    </row>
    <row r="10" ht="40" customHeight="1">
      <c r="A10" s="14" t="inlineStr">
        <is>
          <t>W04-007</t>
        </is>
      </c>
      <c r="B10" s="25" t="inlineStr">
        <is>
          <t>W04</t>
        </is>
      </c>
      <c r="C10" s="6" t="inlineStr">
        <is>
          <t>Favorilere ekle/çıkar</t>
        </is>
      </c>
      <c r="D10" s="6" t="inlineStr">
        <is>
          <t>Üye giriş.</t>
        </is>
      </c>
      <c r="E10" s="6" t="inlineStr">
        <is>
          <t>1. Kalp ikonuna bas
2. Tekrar bas</t>
        </is>
      </c>
      <c r="F10" s="6" t="inlineStr">
        <is>
          <t>Eklenir, çıkarılır; sayaç ve favori sayfası güncellenir.</t>
        </is>
      </c>
      <c r="G10" s="6" t="inlineStr"/>
      <c r="H10" s="14" t="inlineStr">
        <is>
          <t>Beklemede</t>
        </is>
      </c>
      <c r="I10" s="25" t="inlineStr"/>
      <c r="J10" s="25" t="inlineStr"/>
      <c r="K10" s="25" t="inlineStr"/>
      <c r="L10" s="14" t="inlineStr">
        <is>
          <t>Orta</t>
        </is>
      </c>
      <c r="M10" s="6" t="inlineStr"/>
    </row>
    <row r="11" ht="48" customHeight="1">
      <c r="A11" s="16" t="inlineStr">
        <is>
          <t>W04-008</t>
        </is>
      </c>
      <c r="B11" s="26" t="inlineStr">
        <is>
          <t>W04</t>
        </is>
      </c>
      <c r="C11" s="18" t="inlineStr">
        <is>
          <t>Teklif Ver modalı (üye)</t>
        </is>
      </c>
      <c r="D11" s="18" t="inlineStr">
        <is>
          <t>Üye, başkasının ürünü.</t>
        </is>
      </c>
      <c r="E11" s="18" t="inlineStr">
        <is>
          <t>1. 'Teklif Ver' butonuna bas
2. Modal'da fiyat gir
3. Gönder</t>
        </is>
      </c>
      <c r="F11" s="18" t="inlineStr">
        <is>
          <t>Min %50 vb. validasyonlar geçilir, teklif gönderilir, satıcıya bildirim/mail tetiklenir.</t>
        </is>
      </c>
      <c r="G11" s="18" t="inlineStr"/>
      <c r="H11" s="16" t="inlineStr">
        <is>
          <t>Beklemede</t>
        </is>
      </c>
      <c r="I11" s="26" t="inlineStr"/>
      <c r="J11" s="26" t="inlineStr"/>
      <c r="K11" s="26" t="inlineStr"/>
      <c r="L11" s="16" t="inlineStr">
        <is>
          <t>Kritik</t>
        </is>
      </c>
      <c r="M11" s="18" t="inlineStr"/>
    </row>
    <row r="12" ht="40" customHeight="1">
      <c r="A12" s="14" t="inlineStr">
        <is>
          <t>W04-009</t>
        </is>
      </c>
      <c r="B12" s="25" t="inlineStr">
        <is>
          <t>W04</t>
        </is>
      </c>
      <c r="C12" s="6" t="inlineStr">
        <is>
          <t>Çok düşük teklif</t>
        </is>
      </c>
      <c r="D12" s="6" t="inlineStr">
        <is>
          <t>—</t>
        </is>
      </c>
      <c r="E12" s="6" t="inlineStr">
        <is>
          <t>1. Ürün fiyatının %10'unu teklif et</t>
        </is>
      </c>
      <c r="F12" s="6" t="inlineStr">
        <is>
          <t>“Minimum teklif” uyarısı; gönderilmez.</t>
        </is>
      </c>
      <c r="G12" s="6" t="inlineStr"/>
      <c r="H12" s="14" t="inlineStr">
        <is>
          <t>Beklemede</t>
        </is>
      </c>
      <c r="I12" s="25" t="inlineStr"/>
      <c r="J12" s="25" t="inlineStr"/>
      <c r="K12" s="25" t="inlineStr"/>
      <c r="L12" s="14" t="inlineStr">
        <is>
          <t>Orta</t>
        </is>
      </c>
      <c r="M12" s="6" t="inlineStr"/>
    </row>
    <row r="13" ht="40" customHeight="1">
      <c r="A13" s="16" t="inlineStr">
        <is>
          <t>W04-010</t>
        </is>
      </c>
      <c r="B13" s="26" t="inlineStr">
        <is>
          <t>W04</t>
        </is>
      </c>
      <c r="C13" s="18" t="inlineStr">
        <is>
          <t>Satıcıya mesaj gönder</t>
        </is>
      </c>
      <c r="D13" s="18" t="inlineStr">
        <is>
          <t>Üye giriş, başka satıcının ürünü.</t>
        </is>
      </c>
      <c r="E13" s="18" t="inlineStr">
        <is>
          <t>1. 'Mesaj Gönder' butonuna bas, mesajı yaz, gönder</t>
        </is>
      </c>
      <c r="F13" s="18" t="inlineStr">
        <is>
          <t>Mesaj başarıyla gönderilir; /messages sayfasında thread oluşur.</t>
        </is>
      </c>
      <c r="G13" s="18" t="inlineStr"/>
      <c r="H13" s="16" t="inlineStr">
        <is>
          <t>Beklemede</t>
        </is>
      </c>
      <c r="I13" s="26" t="inlineStr"/>
      <c r="J13" s="26" t="inlineStr"/>
      <c r="K13" s="26" t="inlineStr"/>
      <c r="L13" s="16" t="inlineStr">
        <is>
          <t>Orta</t>
        </is>
      </c>
      <c r="M13" s="18" t="inlineStr"/>
    </row>
    <row r="14" ht="40" customHeight="1">
      <c r="A14" s="14" t="inlineStr">
        <is>
          <t>W04-011</t>
        </is>
      </c>
      <c r="B14" s="25" t="inlineStr">
        <is>
          <t>W04</t>
        </is>
      </c>
      <c r="C14" s="6" t="inlineStr">
        <is>
          <t>Mesajda telefon/IBAN içerik filtresi</t>
        </is>
      </c>
      <c r="D14" s="6" t="inlineStr">
        <is>
          <t>—</t>
        </is>
      </c>
      <c r="E14" s="6" t="inlineStr">
        <is>
          <t>1. Mesaj kutusuna telefon numarası yaz, gönder</t>
        </is>
      </c>
      <c r="F14" s="6" t="inlineStr">
        <is>
          <t>Filtre tetiklenir; mesaj engellenir veya maskelenir; uyarı gösterilir.</t>
        </is>
      </c>
      <c r="G14" s="6" t="inlineStr"/>
      <c r="H14" s="14" t="inlineStr">
        <is>
          <t>Beklemede</t>
        </is>
      </c>
      <c r="I14" s="25" t="inlineStr"/>
      <c r="J14" s="25" t="inlineStr"/>
      <c r="K14" s="25" t="inlineStr"/>
      <c r="L14" s="14" t="inlineStr">
        <is>
          <t>Yüksek</t>
        </is>
      </c>
      <c r="M14" s="6" t="inlineStr"/>
    </row>
    <row r="15" ht="40" customHeight="1">
      <c r="A15" s="16" t="inlineStr">
        <is>
          <t>W04-012</t>
        </is>
      </c>
      <c r="B15" s="26" t="inlineStr">
        <is>
          <t>W04</t>
        </is>
      </c>
      <c r="C15" s="18" t="inlineStr">
        <is>
          <t>Takas başlat</t>
        </is>
      </c>
      <c r="D15" s="18" t="inlineStr">
        <is>
          <t>Üye, takasa açık ürün.</t>
        </is>
      </c>
      <c r="E15" s="18" t="inlineStr">
        <is>
          <t>1. 'Takas Öner' butonuna bas, kendi ürününü seç, gönder</t>
        </is>
      </c>
      <c r="F15" s="18" t="inlineStr">
        <is>
          <t>Trade taslağı oluşur, /trades altında listelenir.</t>
        </is>
      </c>
      <c r="G15" s="18" t="inlineStr"/>
      <c r="H15" s="16" t="inlineStr">
        <is>
          <t>Beklemede</t>
        </is>
      </c>
      <c r="I15" s="26" t="inlineStr"/>
      <c r="J15" s="26" t="inlineStr"/>
      <c r="K15" s="26" t="inlineStr"/>
      <c r="L15" s="16" t="inlineStr">
        <is>
          <t>Orta</t>
        </is>
      </c>
      <c r="M15" s="18" t="inlineStr"/>
    </row>
    <row r="16" ht="40" customHeight="1">
      <c r="A16" s="14" t="inlineStr">
        <is>
          <t>W04-013</t>
        </is>
      </c>
      <c r="B16" s="25" t="inlineStr">
        <is>
          <t>W04</t>
        </is>
      </c>
      <c r="C16" s="6" t="inlineStr">
        <is>
          <t>Ürünü raporla</t>
        </is>
      </c>
      <c r="D16" s="6" t="inlineStr">
        <is>
          <t>—</t>
        </is>
      </c>
      <c r="E16" s="6" t="inlineStr">
        <is>
          <t>1. 'Şikayet Et' linkine bas, sebep seç, gönder</t>
        </is>
      </c>
      <c r="F16" s="6" t="inlineStr">
        <is>
          <t>Şikayet kaydı oluşur; admin moderasyon kuyruğuna düşer.</t>
        </is>
      </c>
      <c r="G16" s="6" t="inlineStr"/>
      <c r="H16" s="14" t="inlineStr">
        <is>
          <t>Beklemede</t>
        </is>
      </c>
      <c r="I16" s="25" t="inlineStr"/>
      <c r="J16" s="25" t="inlineStr"/>
      <c r="K16" s="25" t="inlineStr"/>
      <c r="L16" s="14" t="inlineStr">
        <is>
          <t>Orta</t>
        </is>
      </c>
      <c r="M16" s="6" t="inlineStr"/>
    </row>
    <row r="17" ht="40" customHeight="1">
      <c r="A17" s="16" t="inlineStr">
        <is>
          <t>W04-014</t>
        </is>
      </c>
      <c r="B17" s="26" t="inlineStr">
        <is>
          <t>W04</t>
        </is>
      </c>
      <c r="C17" s="18" t="inlineStr">
        <is>
          <t>Yorumlar tabı</t>
        </is>
      </c>
      <c r="D17" s="18" t="inlineStr">
        <is>
          <t>Yorumu olan ürün.</t>
        </is>
      </c>
      <c r="E17" s="18" t="inlineStr">
        <is>
          <t>1. Yorumlar bölümüne in</t>
        </is>
      </c>
      <c r="F17" s="18" t="inlineStr">
        <is>
          <t>Yorumlar listelenir; sıralama (yeni/eski/yıldız) çalışır.</t>
        </is>
      </c>
      <c r="G17" s="18" t="inlineStr"/>
      <c r="H17" s="16" t="inlineStr">
        <is>
          <t>Beklemede</t>
        </is>
      </c>
      <c r="I17" s="26" t="inlineStr"/>
      <c r="J17" s="26" t="inlineStr"/>
      <c r="K17" s="26" t="inlineStr"/>
      <c r="L17" s="16" t="inlineStr">
        <is>
          <t>Orta</t>
        </is>
      </c>
      <c r="M17" s="18" t="inlineStr"/>
    </row>
    <row r="20">
      <c r="A20" s="27" t="inlineStr">
        <is>
          <t>Bu sayfadaki tüm senaryolar test edilmiş ve sonuçlar yukarıda işaretlenmiştir.</t>
        </is>
      </c>
    </row>
    <row r="21">
      <c r="A21" s="28" t="inlineStr">
        <is>
          <t>Test Eden (Tarodan)</t>
        </is>
      </c>
      <c r="D21" s="28" t="inlineStr">
        <is>
          <t>Tarih</t>
        </is>
      </c>
      <c r="G21" s="28" t="inlineStr">
        <is>
          <t>Onaylayan (Müşteri)</t>
        </is>
      </c>
      <c r="J21" s="28" t="inlineStr">
        <is>
          <t>Tarih</t>
        </is>
      </c>
    </row>
    <row r="22">
      <c r="A22" s="7" t="n"/>
      <c r="D22" s="7" t="n"/>
      <c r="G22" s="7" t="n"/>
      <c r="J22" s="7" t="n"/>
    </row>
  </sheetData>
  <mergeCells count="7">
    <mergeCell ref="A1:M1"/>
    <mergeCell ref="J22:K22"/>
    <mergeCell ref="D22:E22"/>
    <mergeCell ref="G22:H22"/>
    <mergeCell ref="A20:M20"/>
    <mergeCell ref="A2:M2"/>
    <mergeCell ref="A22:B22"/>
  </mergeCells>
  <conditionalFormatting sqref="H4:H1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7" showDropDown="0" showInputMessage="0" showErrorMessage="0" allowBlank="1" errorTitle="Geçersiz değer" error="Lütfen listedeki seçeneklerden birini seçin." type="list">
      <formula1>"Beklemede,Geçti,Kaldı,Bloke,Yapılamadı,N/A"</formula1>
    </dataValidation>
    <dataValidation sqref="L4:L17" showDropDown="0" showInputMessage="0" showErrorMessage="0" allowBlank="1" type="list">
      <formula1>"Kritik,Yüksek,Orta,Düşük"</formula1>
    </dataValidation>
    <dataValidation sqref="K4:K1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W05 — Sepet İşlemleri</t>
        </is>
      </c>
    </row>
    <row r="2" ht="28" customHeight="1">
      <c r="A2" s="24" t="inlineStr">
        <is>
          <t>Ekleme, miktar değişimi, kupon, kargo, boş sepet, oturum birleştirme.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W05-001</t>
        </is>
      </c>
      <c r="B4" s="25" t="inlineStr">
        <is>
          <t>W05</t>
        </is>
      </c>
      <c r="C4" s="6" t="inlineStr">
        <is>
          <t>Sepet yükleme (üye)</t>
        </is>
      </c>
      <c r="D4" s="6" t="inlineStr">
        <is>
          <t>Üye, sepete önceden eklenmiş ürünler.</t>
        </is>
      </c>
      <c r="E4" s="6" t="inlineStr">
        <is>
          <t>1. /cart sayfasını aç</t>
        </is>
      </c>
      <c r="F4" s="6" t="inlineStr">
        <is>
          <t>Tüm ürünler, satıcı, fiyat ve özet panel doğru görünür.</t>
        </is>
      </c>
      <c r="G4" s="6" t="inlineStr"/>
      <c r="H4" s="14" t="inlineStr">
        <is>
          <t>Beklemede</t>
        </is>
      </c>
      <c r="I4" s="25" t="inlineStr"/>
      <c r="J4" s="25" t="inlineStr"/>
      <c r="K4" s="25" t="inlineStr"/>
      <c r="L4" s="14" t="inlineStr">
        <is>
          <t>Kritik</t>
        </is>
      </c>
      <c r="M4" s="6" t="inlineStr"/>
    </row>
    <row r="5" ht="40" customHeight="1">
      <c r="A5" s="16" t="inlineStr">
        <is>
          <t>W05-002</t>
        </is>
      </c>
      <c r="B5" s="26" t="inlineStr">
        <is>
          <t>W05</t>
        </is>
      </c>
      <c r="C5" s="18" t="inlineStr">
        <is>
          <t>Boş sepet ekranı</t>
        </is>
      </c>
      <c r="D5" s="18" t="inlineStr">
        <is>
          <t>Hiç ürün eklenmemiş.</t>
        </is>
      </c>
      <c r="E5" s="18" t="inlineStr">
        <is>
          <t>1. /cart aç</t>
        </is>
      </c>
      <c r="F5" s="18" t="inlineStr">
        <is>
          <t>“Sepetiniz boş” mesajı + 'Alışverişe Devam Et' butonu.</t>
        </is>
      </c>
      <c r="G5" s="18" t="inlineStr"/>
      <c r="H5" s="16" t="inlineStr">
        <is>
          <t>Beklemede</t>
        </is>
      </c>
      <c r="I5" s="26" t="inlineStr"/>
      <c r="J5" s="26" t="inlineStr"/>
      <c r="K5" s="26" t="inlineStr"/>
      <c r="L5" s="16" t="inlineStr">
        <is>
          <t>Orta</t>
        </is>
      </c>
      <c r="M5" s="18" t="inlineStr"/>
    </row>
    <row r="6" ht="40" customHeight="1">
      <c r="A6" s="14" t="inlineStr">
        <is>
          <t>W05-003</t>
        </is>
      </c>
      <c r="B6" s="25" t="inlineStr">
        <is>
          <t>W05</t>
        </is>
      </c>
      <c r="C6" s="6" t="inlineStr">
        <is>
          <t>Ürün miktarı artırma/azaltma</t>
        </is>
      </c>
      <c r="D6" s="6" t="inlineStr">
        <is>
          <t>Sepette ürün var.</t>
        </is>
      </c>
      <c r="E6" s="6" t="inlineStr">
        <is>
          <t>1. + ve - butonlarıyla miktarı değiştir</t>
        </is>
      </c>
      <c r="F6" s="6" t="inlineStr">
        <is>
          <t>Toplam ve KDV anlık güncellenir; stok limitini aşmaya izin vermez.</t>
        </is>
      </c>
      <c r="G6" s="6" t="inlineStr"/>
      <c r="H6" s="14" t="inlineStr">
        <is>
          <t>Beklemede</t>
        </is>
      </c>
      <c r="I6" s="25" t="inlineStr"/>
      <c r="J6" s="25" t="inlineStr"/>
      <c r="K6" s="25" t="inlineStr"/>
      <c r="L6" s="14" t="inlineStr">
        <is>
          <t>Orta</t>
        </is>
      </c>
      <c r="M6" s="6" t="inlineStr"/>
    </row>
    <row r="7" ht="40" customHeight="1">
      <c r="A7" s="16" t="inlineStr">
        <is>
          <t>W05-004</t>
        </is>
      </c>
      <c r="B7" s="26" t="inlineStr">
        <is>
          <t>W05</t>
        </is>
      </c>
      <c r="C7" s="18" t="inlineStr">
        <is>
          <t>Sepetten ürün çıkarma</t>
        </is>
      </c>
      <c r="D7" s="18" t="inlineStr">
        <is>
          <t>—</t>
        </is>
      </c>
      <c r="E7" s="18" t="inlineStr">
        <is>
          <t>1. Çöp kutusu/Kaldır butonuna bas</t>
        </is>
      </c>
      <c r="F7" s="18" t="inlineStr">
        <is>
          <t>Ürün kalkar; toplam yeniden hesaplanır; toast onay.</t>
        </is>
      </c>
      <c r="G7" s="18" t="inlineStr"/>
      <c r="H7" s="16" t="inlineStr">
        <is>
          <t>Beklemede</t>
        </is>
      </c>
      <c r="I7" s="26" t="inlineStr"/>
      <c r="J7" s="26" t="inlineStr"/>
      <c r="K7" s="26" t="inlineStr"/>
      <c r="L7" s="16" t="inlineStr">
        <is>
          <t>Orta</t>
        </is>
      </c>
      <c r="M7" s="18" t="inlineStr"/>
    </row>
    <row r="8" ht="40" customHeight="1">
      <c r="A8" s="14" t="inlineStr">
        <is>
          <t>W05-005</t>
        </is>
      </c>
      <c r="B8" s="25" t="inlineStr">
        <is>
          <t>W05</t>
        </is>
      </c>
      <c r="C8" s="6" t="inlineStr">
        <is>
          <t>Kupon kodu uygulama (geçerli)</t>
        </is>
      </c>
      <c r="D8" s="6" t="inlineStr">
        <is>
          <t>Aktif bir kupon kodu.</t>
        </is>
      </c>
      <c r="E8" s="6" t="inlineStr">
        <is>
          <t>1. Kupon alanına kodu gir, Uygula</t>
        </is>
      </c>
      <c r="F8" s="6" t="inlineStr">
        <is>
          <t>İndirim satırı eklenir; toplam azalır; kupon kuralları geçerli.</t>
        </is>
      </c>
      <c r="G8" s="6" t="inlineStr"/>
      <c r="H8" s="14" t="inlineStr">
        <is>
          <t>Beklemede</t>
        </is>
      </c>
      <c r="I8" s="25" t="inlineStr"/>
      <c r="J8" s="25" t="inlineStr"/>
      <c r="K8" s="25" t="inlineStr"/>
      <c r="L8" s="14" t="inlineStr">
        <is>
          <t>Orta</t>
        </is>
      </c>
      <c r="M8" s="6" t="inlineStr"/>
    </row>
    <row r="9" ht="40" customHeight="1">
      <c r="A9" s="16" t="inlineStr">
        <is>
          <t>W05-006</t>
        </is>
      </c>
      <c r="B9" s="26" t="inlineStr">
        <is>
          <t>W05</t>
        </is>
      </c>
      <c r="C9" s="18" t="inlineStr">
        <is>
          <t>Geçersiz kupon</t>
        </is>
      </c>
      <c r="D9" s="18" t="inlineStr">
        <is>
          <t>—</t>
        </is>
      </c>
      <c r="E9" s="18" t="inlineStr">
        <is>
          <t>1. Olmayan bir kod gir, Uygula</t>
        </is>
      </c>
      <c r="F9" s="18" t="inlineStr">
        <is>
          <t>Hata mesajı; toplam değişmez.</t>
        </is>
      </c>
      <c r="G9" s="18" t="inlineStr"/>
      <c r="H9" s="16" t="inlineStr">
        <is>
          <t>Beklemede</t>
        </is>
      </c>
      <c r="I9" s="26" t="inlineStr"/>
      <c r="J9" s="26" t="inlineStr"/>
      <c r="K9" s="26" t="inlineStr"/>
      <c r="L9" s="16" t="inlineStr">
        <is>
          <t>Orta</t>
        </is>
      </c>
      <c r="M9" s="18" t="inlineStr"/>
    </row>
    <row r="10" ht="40" customHeight="1">
      <c r="A10" s="14" t="inlineStr">
        <is>
          <t>W05-007</t>
        </is>
      </c>
      <c r="B10" s="25" t="inlineStr">
        <is>
          <t>W05</t>
        </is>
      </c>
      <c r="C10" s="6" t="inlineStr">
        <is>
          <t>Kargo eşiği (örn. 500 TL üstü ücretsiz)</t>
        </is>
      </c>
      <c r="D10" s="6" t="inlineStr">
        <is>
          <t>Yapılandırma değeri biliniyor.</t>
        </is>
      </c>
      <c r="E10" s="6" t="inlineStr">
        <is>
          <t>1. Tutarı eşiğin altında ve üstünde dene</t>
        </is>
      </c>
      <c r="F10" s="6" t="inlineStr">
        <is>
          <t>Eşik altında kargo ücreti, üstünde 'Ücretsiz' görünür.</t>
        </is>
      </c>
      <c r="G10" s="6" t="inlineStr"/>
      <c r="H10" s="14" t="inlineStr">
        <is>
          <t>Beklemede</t>
        </is>
      </c>
      <c r="I10" s="25" t="inlineStr"/>
      <c r="J10" s="25" t="inlineStr"/>
      <c r="K10" s="25" t="inlineStr"/>
      <c r="L10" s="14" t="inlineStr">
        <is>
          <t>Orta</t>
        </is>
      </c>
      <c r="M10" s="6" t="inlineStr"/>
    </row>
    <row r="11" ht="40" customHeight="1">
      <c r="A11" s="16" t="inlineStr">
        <is>
          <t>W05-008</t>
        </is>
      </c>
      <c r="B11" s="26" t="inlineStr">
        <is>
          <t>W05</t>
        </is>
      </c>
      <c r="C11" s="18" t="inlineStr">
        <is>
          <t>Misafir → giriş yapınca sepet birleşmesi</t>
        </is>
      </c>
      <c r="D11" s="18" t="inlineStr">
        <is>
          <t>Misafir olarak ürün eklenmiş.</t>
        </is>
      </c>
      <c r="E11" s="18" t="inlineStr">
        <is>
          <t>1. Giriş yap</t>
        </is>
      </c>
      <c r="F11" s="18" t="inlineStr">
        <is>
          <t>Misafir sepeti üye sepetiyle birleşir; çift kayıt oluşmaz.</t>
        </is>
      </c>
      <c r="G11" s="18" t="inlineStr"/>
      <c r="H11" s="16" t="inlineStr">
        <is>
          <t>Beklemede</t>
        </is>
      </c>
      <c r="I11" s="26" t="inlineStr"/>
      <c r="J11" s="26" t="inlineStr"/>
      <c r="K11" s="26" t="inlineStr"/>
      <c r="L11" s="16" t="inlineStr">
        <is>
          <t>Orta</t>
        </is>
      </c>
      <c r="M11" s="18" t="inlineStr"/>
    </row>
    <row r="12" ht="40" customHeight="1">
      <c r="A12" s="14" t="inlineStr">
        <is>
          <t>W05-009</t>
        </is>
      </c>
      <c r="B12" s="25" t="inlineStr">
        <is>
          <t>W05</t>
        </is>
      </c>
      <c r="C12" s="6" t="inlineStr">
        <is>
          <t>Stok düşmüş ürün uyarısı</t>
        </is>
      </c>
      <c r="D12" s="6" t="inlineStr">
        <is>
          <t>Sepetteki üründen başkası satın aldı.</t>
        </is>
      </c>
      <c r="E12" s="6" t="inlineStr">
        <is>
          <t>1. Sepeti yenile</t>
        </is>
      </c>
      <c r="F12" s="6" t="inlineStr">
        <is>
          <t>“Stok azaldı/satıldı” uyarısı; checkout'a geçişe izin verilmez.</t>
        </is>
      </c>
      <c r="G12" s="6" t="inlineStr"/>
      <c r="H12" s="14" t="inlineStr">
        <is>
          <t>Beklemede</t>
        </is>
      </c>
      <c r="I12" s="25" t="inlineStr"/>
      <c r="J12" s="25" t="inlineStr"/>
      <c r="K12" s="25" t="inlineStr"/>
      <c r="L12" s="14" t="inlineStr">
        <is>
          <t>Orta</t>
        </is>
      </c>
      <c r="M12" s="6" t="inlineStr"/>
    </row>
    <row r="13" ht="40" customHeight="1">
      <c r="A13" s="16" t="inlineStr">
        <is>
          <t>W05-010</t>
        </is>
      </c>
      <c r="B13" s="26" t="inlineStr">
        <is>
          <t>W05</t>
        </is>
      </c>
      <c r="C13" s="18" t="inlineStr">
        <is>
          <t>Devam Et — Checkout'a yönlendir</t>
        </is>
      </c>
      <c r="D13" s="18" t="inlineStr">
        <is>
          <t>Sepette ürün var.</t>
        </is>
      </c>
      <c r="E13" s="18" t="inlineStr">
        <is>
          <t>1. 'Ödemeye Geç' butonuna bas</t>
        </is>
      </c>
      <c r="F13" s="18" t="inlineStr">
        <is>
          <t>/checkout sayfasına geçilir; üye için adres adımı, misafir için e-posta adımı.</t>
        </is>
      </c>
      <c r="G13" s="18" t="inlineStr"/>
      <c r="H13" s="16" t="inlineStr">
        <is>
          <t>Beklemede</t>
        </is>
      </c>
      <c r="I13" s="26" t="inlineStr"/>
      <c r="J13" s="26" t="inlineStr"/>
      <c r="K13" s="26" t="inlineStr"/>
      <c r="L13" s="16" t="inlineStr">
        <is>
          <t>Orta</t>
        </is>
      </c>
      <c r="M13" s="18" t="inlineStr"/>
    </row>
    <row r="16">
      <c r="A16" s="27" t="inlineStr">
        <is>
          <t>Bu sayfadaki tüm senaryolar test edilmiş ve sonuçlar yukarıda işaretlenmiştir.</t>
        </is>
      </c>
    </row>
    <row r="17">
      <c r="A17" s="28" t="inlineStr">
        <is>
          <t>Test Eden (Tarodan)</t>
        </is>
      </c>
      <c r="D17" s="28" t="inlineStr">
        <is>
          <t>Tarih</t>
        </is>
      </c>
      <c r="G17" s="28" t="inlineStr">
        <is>
          <t>Onaylayan (Müşteri)</t>
        </is>
      </c>
      <c r="J17" s="28" t="inlineStr">
        <is>
          <t>Tarih</t>
        </is>
      </c>
    </row>
    <row r="18">
      <c r="A18" s="7" t="n"/>
      <c r="D18" s="7" t="n"/>
      <c r="G18" s="7" t="n"/>
      <c r="J18" s="7" t="n"/>
    </row>
  </sheetData>
  <mergeCells count="7">
    <mergeCell ref="D18:E18"/>
    <mergeCell ref="A1:M1"/>
    <mergeCell ref="J18:K18"/>
    <mergeCell ref="A2:M2"/>
    <mergeCell ref="A18:B18"/>
    <mergeCell ref="G18:H18"/>
    <mergeCell ref="A16:M16"/>
  </mergeCells>
  <conditionalFormatting sqref="H4:H13">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3" showDropDown="0" showInputMessage="0" showErrorMessage="0" allowBlank="1" errorTitle="Geçersiz değer" error="Lütfen listedeki seçeneklerden birini seçin." type="list">
      <formula1>"Beklemede,Geçti,Kaldı,Bloke,Yapılamadı,N/A"</formula1>
    </dataValidation>
    <dataValidation sqref="L4:L13" showDropDown="0" showInputMessage="0" showErrorMessage="0" allowBlank="1" type="list">
      <formula1>"Kritik,Yüksek,Orta,Düşük"</formula1>
    </dataValidation>
    <dataValidation sqref="K4:K13"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W06 — Misafir Checkout Akışı (E-posta OTP)</t>
        </is>
      </c>
    </row>
    <row r="2" ht="28" customHeight="1">
      <c r="A2" s="24" t="inlineStr">
        <is>
          <t>Misafir kullanıcının kayıt olmadan satın alma süreci.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8" customHeight="1">
      <c r="A4" s="14" t="inlineStr">
        <is>
          <t>W06-001</t>
        </is>
      </c>
      <c r="B4" s="25" t="inlineStr">
        <is>
          <t>W06</t>
        </is>
      </c>
      <c r="C4" s="6" t="inlineStr">
        <is>
          <t>Misafir e-posta + OTP doğrulama</t>
        </is>
      </c>
      <c r="D4" s="6" t="inlineStr">
        <is>
          <t>Sepet dolu, çıkış yapılmış.</t>
        </is>
      </c>
      <c r="E4" s="6" t="inlineStr">
        <is>
          <t>1. /checkout aç
2. E-posta gir, Kod Gönder
3. Maildeki kodu gir, Doğrula</t>
        </is>
      </c>
      <c r="F4" s="6" t="inlineStr">
        <is>
          <t>Doğrulama OK; adres adımına geçer.</t>
        </is>
      </c>
      <c r="G4" s="6" t="inlineStr"/>
      <c r="H4" s="14" t="inlineStr">
        <is>
          <t>Beklemede</t>
        </is>
      </c>
      <c r="I4" s="25" t="inlineStr"/>
      <c r="J4" s="25" t="inlineStr"/>
      <c r="K4" s="25" t="inlineStr"/>
      <c r="L4" s="14" t="inlineStr">
        <is>
          <t>Kritik</t>
        </is>
      </c>
      <c r="M4" s="6" t="inlineStr"/>
    </row>
    <row r="5" ht="40" customHeight="1">
      <c r="A5" s="16" t="inlineStr">
        <is>
          <t>W06-002</t>
        </is>
      </c>
      <c r="B5" s="26" t="inlineStr">
        <is>
          <t>W06</t>
        </is>
      </c>
      <c r="C5" s="18" t="inlineStr">
        <is>
          <t>Yeni teslimat adresi girme</t>
        </is>
      </c>
      <c r="D5" s="18" t="inlineStr">
        <is>
          <t>OTP doğrulandı.</t>
        </is>
      </c>
      <c r="E5" s="18" t="inlineStr">
        <is>
          <t>1. Ad, telefon, il, ilçe, adres, posta kodu gir
2. Devam et</t>
        </is>
      </c>
      <c r="F5" s="18" t="inlineStr">
        <is>
          <t>Adres validasyonları geçer; ödeme adımına geçilir.</t>
        </is>
      </c>
      <c r="G5" s="18" t="inlineStr"/>
      <c r="H5" s="16" t="inlineStr">
        <is>
          <t>Beklemede</t>
        </is>
      </c>
      <c r="I5" s="26" t="inlineStr"/>
      <c r="J5" s="26" t="inlineStr"/>
      <c r="K5" s="26" t="inlineStr"/>
      <c r="L5" s="16" t="inlineStr">
        <is>
          <t>Orta</t>
        </is>
      </c>
      <c r="M5" s="18" t="inlineStr"/>
    </row>
    <row r="6" ht="40" customHeight="1">
      <c r="A6" s="14" t="inlineStr">
        <is>
          <t>W06-003</t>
        </is>
      </c>
      <c r="B6" s="25" t="inlineStr">
        <is>
          <t>W06</t>
        </is>
      </c>
      <c r="C6" s="6" t="inlineStr">
        <is>
          <t>Faturalandırma adresi farklı seçeneği</t>
        </is>
      </c>
      <c r="D6" s="6" t="inlineStr">
        <is>
          <t>Adres adımında.</t>
        </is>
      </c>
      <c r="E6" s="6" t="inlineStr">
        <is>
          <t>1. 'Faturalandırma adresi farklı' işaretle
2. Yeni fatura adresi gir</t>
        </is>
      </c>
      <c r="F6" s="6" t="inlineStr">
        <is>
          <t>İki ayrı adres kaydedilir; sipariş özetinde görünür.</t>
        </is>
      </c>
      <c r="G6" s="6" t="inlineStr"/>
      <c r="H6" s="14" t="inlineStr">
        <is>
          <t>Beklemede</t>
        </is>
      </c>
      <c r="I6" s="25" t="inlineStr"/>
      <c r="J6" s="25" t="inlineStr"/>
      <c r="K6" s="25" t="inlineStr"/>
      <c r="L6" s="14" t="inlineStr">
        <is>
          <t>Orta</t>
        </is>
      </c>
      <c r="M6" s="6" t="inlineStr"/>
    </row>
    <row r="7" ht="40" customHeight="1">
      <c r="A7" s="16" t="inlineStr">
        <is>
          <t>W06-004</t>
        </is>
      </c>
      <c r="B7" s="26" t="inlineStr">
        <is>
          <t>W06</t>
        </is>
      </c>
      <c r="C7" s="18" t="inlineStr">
        <is>
          <t>Kurumsal fatura talebi</t>
        </is>
      </c>
      <c r="D7" s="18" t="inlineStr">
        <is>
          <t>—</t>
        </is>
      </c>
      <c r="E7" s="18" t="inlineStr">
        <is>
          <t>1. Kurumsal fatura işaretle, vergi dairesi/no gir</t>
        </is>
      </c>
      <c r="F7" s="18" t="inlineStr">
        <is>
          <t>Kurumsal fatura bilgileri kaydedilir.</t>
        </is>
      </c>
      <c r="G7" s="18" t="inlineStr"/>
      <c r="H7" s="16" t="inlineStr">
        <is>
          <t>Beklemede</t>
        </is>
      </c>
      <c r="I7" s="26" t="inlineStr"/>
      <c r="J7" s="26" t="inlineStr"/>
      <c r="K7" s="26" t="inlineStr"/>
      <c r="L7" s="16" t="inlineStr">
        <is>
          <t>Orta</t>
        </is>
      </c>
      <c r="M7" s="18" t="inlineStr"/>
    </row>
    <row r="8" ht="40" customHeight="1">
      <c r="A8" s="14" t="inlineStr">
        <is>
          <t>W06-005</t>
        </is>
      </c>
      <c r="B8" s="25" t="inlineStr">
        <is>
          <t>W06</t>
        </is>
      </c>
      <c r="C8" s="6" t="inlineStr">
        <is>
          <t>Sipariş özeti doğrulama</t>
        </is>
      </c>
      <c r="D8" s="6" t="inlineStr">
        <is>
          <t>Adres + ödeme seçildi.</t>
        </is>
      </c>
      <c r="E8" s="6" t="inlineStr">
        <is>
          <t>1. Özet ekranını incele</t>
        </is>
      </c>
      <c r="F8" s="6" t="inlineStr">
        <is>
          <t>Ürünler, kargo, vergi, kupon, toplam doğru gösterilir.</t>
        </is>
      </c>
      <c r="G8" s="6" t="inlineStr"/>
      <c r="H8" s="14" t="inlineStr">
        <is>
          <t>Beklemede</t>
        </is>
      </c>
      <c r="I8" s="25" t="inlineStr"/>
      <c r="J8" s="25" t="inlineStr"/>
      <c r="K8" s="25" t="inlineStr"/>
      <c r="L8" s="14" t="inlineStr">
        <is>
          <t>Orta</t>
        </is>
      </c>
      <c r="M8" s="6" t="inlineStr"/>
    </row>
    <row r="9" ht="40" customHeight="1">
      <c r="A9" s="16" t="inlineStr">
        <is>
          <t>W06-006</t>
        </is>
      </c>
      <c r="B9" s="26" t="inlineStr">
        <is>
          <t>W06</t>
        </is>
      </c>
      <c r="C9" s="18" t="inlineStr">
        <is>
          <t>Mesafeli satış sözleşmesi onayı</t>
        </is>
      </c>
      <c r="D9" s="18" t="inlineStr">
        <is>
          <t>Özet ekranda.</t>
        </is>
      </c>
      <c r="E9" s="18" t="inlineStr">
        <is>
          <t>1. Onay kutusunu işaretle, Siparişi Onayla'ya bas</t>
        </is>
      </c>
      <c r="F9" s="18" t="inlineStr">
        <is>
          <t>Onaysız ödeme başlatılamaz; onay sonrası PayTR iframe'ine geçer.</t>
        </is>
      </c>
      <c r="G9" s="18" t="inlineStr"/>
      <c r="H9" s="16" t="inlineStr">
        <is>
          <t>Beklemede</t>
        </is>
      </c>
      <c r="I9" s="26" t="inlineStr"/>
      <c r="J9" s="26" t="inlineStr"/>
      <c r="K9" s="26" t="inlineStr"/>
      <c r="L9" s="16" t="inlineStr">
        <is>
          <t>Yüksek</t>
        </is>
      </c>
      <c r="M9" s="18" t="inlineStr"/>
    </row>
    <row r="10" ht="40" customHeight="1">
      <c r="A10" s="14" t="inlineStr">
        <is>
          <t>W06-007</t>
        </is>
      </c>
      <c r="B10" s="25" t="inlineStr">
        <is>
          <t>W06</t>
        </is>
      </c>
      <c r="C10" s="6" t="inlineStr">
        <is>
          <t>Misafir sipariş takip linki</t>
        </is>
      </c>
      <c r="D10" s="6" t="inlineStr">
        <is>
          <t>Misafir siparişi tamamlandı.</t>
        </is>
      </c>
      <c r="E10" s="6" t="inlineStr">
        <is>
          <t>1. Mailde gelen takip linkine tıkla
2. /track-order sayfası</t>
        </is>
      </c>
      <c r="F10" s="6" t="inlineStr">
        <is>
          <t>E-posta + sipariş no ile sipariş detayına erişilir.</t>
        </is>
      </c>
      <c r="G10" s="6" t="inlineStr"/>
      <c r="H10" s="14" t="inlineStr">
        <is>
          <t>Beklemede</t>
        </is>
      </c>
      <c r="I10" s="25" t="inlineStr"/>
      <c r="J10" s="25" t="inlineStr"/>
      <c r="K10" s="25" t="inlineStr"/>
      <c r="L10" s="14" t="inlineStr">
        <is>
          <t>Orta</t>
        </is>
      </c>
      <c r="M10" s="6" t="inlineStr"/>
    </row>
    <row r="11" ht="40" customHeight="1">
      <c r="A11" s="16" t="inlineStr">
        <is>
          <t>W06-008</t>
        </is>
      </c>
      <c r="B11" s="26" t="inlineStr">
        <is>
          <t>W06</t>
        </is>
      </c>
      <c r="C11" s="18" t="inlineStr">
        <is>
          <t>Misafir sipariş için iade talebi</t>
        </is>
      </c>
      <c r="D11" s="18" t="inlineStr">
        <is>
          <t>Teslim edilmiş misafir siparişi.</t>
        </is>
      </c>
      <c r="E11" s="18" t="inlineStr">
        <is>
          <t>1. /track-order üzerinden detaya git
2. İade Talebi başlat</t>
        </is>
      </c>
      <c r="F11" s="18" t="inlineStr">
        <is>
          <t>İade talebi oluşur; e-postayla durum güncellemeleri gelir.</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W07 — Üye Checkout Akışı</t>
        </is>
      </c>
    </row>
    <row r="2" ht="28" customHeight="1">
      <c r="A2" s="24" t="inlineStr">
        <is>
          <t>Kayıtlı kullanıcı için adres seçimi, ödeme, sipariş onayı.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8" customHeight="1">
      <c r="A4" s="14" t="inlineStr">
        <is>
          <t>W07-001</t>
        </is>
      </c>
      <c r="B4" s="25" t="inlineStr">
        <is>
          <t>W07</t>
        </is>
      </c>
      <c r="C4" s="6" t="inlineStr">
        <is>
          <t>Kayıtlı adres seçimi</t>
        </is>
      </c>
      <c r="D4" s="6" t="inlineStr">
        <is>
          <t>Üye, kayıtlı adres var.</t>
        </is>
      </c>
      <c r="E4" s="6" t="inlineStr">
        <is>
          <t>1. /checkout aç
2. Adresler listesinden seç
3. Devam et</t>
        </is>
      </c>
      <c r="F4" s="6" t="inlineStr">
        <is>
          <t>Adres seçilir; ödeme adımına geçer.</t>
        </is>
      </c>
      <c r="G4" s="6" t="inlineStr"/>
      <c r="H4" s="14" t="inlineStr">
        <is>
          <t>Beklemede</t>
        </is>
      </c>
      <c r="I4" s="25" t="inlineStr"/>
      <c r="J4" s="25" t="inlineStr"/>
      <c r="K4" s="25" t="inlineStr"/>
      <c r="L4" s="14" t="inlineStr">
        <is>
          <t>Kritik</t>
        </is>
      </c>
      <c r="M4" s="6" t="inlineStr"/>
    </row>
    <row r="5" ht="40" customHeight="1">
      <c r="A5" s="16" t="inlineStr">
        <is>
          <t>W07-002</t>
        </is>
      </c>
      <c r="B5" s="26" t="inlineStr">
        <is>
          <t>W07</t>
        </is>
      </c>
      <c r="C5" s="18" t="inlineStr">
        <is>
          <t>Adres yokken yeni adres ekle</t>
        </is>
      </c>
      <c r="D5" s="18" t="inlineStr">
        <is>
          <t>Hiç adres yok.</t>
        </is>
      </c>
      <c r="E5" s="18" t="inlineStr">
        <is>
          <t>1. Yeni Adres formunu doldur, kaydet</t>
        </is>
      </c>
      <c r="F5" s="18" t="inlineStr">
        <is>
          <t>Adres profil hesabına da kaydedilir; checkout devam eder.</t>
        </is>
      </c>
      <c r="G5" s="18" t="inlineStr"/>
      <c r="H5" s="16" t="inlineStr">
        <is>
          <t>Beklemede</t>
        </is>
      </c>
      <c r="I5" s="26" t="inlineStr"/>
      <c r="J5" s="26" t="inlineStr"/>
      <c r="K5" s="26" t="inlineStr"/>
      <c r="L5" s="16" t="inlineStr">
        <is>
          <t>Orta</t>
        </is>
      </c>
      <c r="M5" s="18" t="inlineStr"/>
    </row>
    <row r="6" ht="40" customHeight="1">
      <c r="A6" s="14" t="inlineStr">
        <is>
          <t>W07-003</t>
        </is>
      </c>
      <c r="B6" s="25" t="inlineStr">
        <is>
          <t>W07</t>
        </is>
      </c>
      <c r="C6" s="6" t="inlineStr">
        <is>
          <t>Varsayılan adres seçimi</t>
        </is>
      </c>
      <c r="D6" s="6" t="inlineStr">
        <is>
          <t>Çok adres var.</t>
        </is>
      </c>
      <c r="E6" s="6" t="inlineStr">
        <is>
          <t>1. Bir adresi 'Varsayılan' yap</t>
        </is>
      </c>
      <c r="F6" s="6" t="inlineStr">
        <is>
          <t>Sonraki checkout'larda otomatik seçili gelir.</t>
        </is>
      </c>
      <c r="G6" s="6" t="inlineStr"/>
      <c r="H6" s="14" t="inlineStr">
        <is>
          <t>Beklemede</t>
        </is>
      </c>
      <c r="I6" s="25" t="inlineStr"/>
      <c r="J6" s="25" t="inlineStr"/>
      <c r="K6" s="25" t="inlineStr"/>
      <c r="L6" s="14" t="inlineStr">
        <is>
          <t>Orta</t>
        </is>
      </c>
      <c r="M6" s="6" t="inlineStr"/>
    </row>
    <row r="7" ht="40" customHeight="1">
      <c r="A7" s="16" t="inlineStr">
        <is>
          <t>W07-004</t>
        </is>
      </c>
      <c r="B7" s="26" t="inlineStr">
        <is>
          <t>W07</t>
        </is>
      </c>
      <c r="C7" s="18" t="inlineStr">
        <is>
          <t>Kayıtlı kart kullanma (varsa)</t>
        </is>
      </c>
      <c r="D7" s="18" t="inlineStr">
        <is>
          <t>Daha önce kart kaydedilmiş.</t>
        </is>
      </c>
      <c r="E7" s="18" t="inlineStr">
        <is>
          <t>1. Ödeme adımında kayıtlı kartı seç</t>
        </is>
      </c>
      <c r="F7" s="18" t="inlineStr">
        <is>
          <t>PayTR ile uyumlu şekilde kullanılır; CVV istenebilir.</t>
        </is>
      </c>
      <c r="G7" s="18" t="inlineStr"/>
      <c r="H7" s="16" t="inlineStr">
        <is>
          <t>Beklemede</t>
        </is>
      </c>
      <c r="I7" s="26" t="inlineStr"/>
      <c r="J7" s="26" t="inlineStr"/>
      <c r="K7" s="26" t="inlineStr"/>
      <c r="L7" s="16" t="inlineStr">
        <is>
          <t>Orta</t>
        </is>
      </c>
      <c r="M7" s="18" t="inlineStr"/>
    </row>
    <row r="8" ht="40" customHeight="1">
      <c r="A8" s="14" t="inlineStr">
        <is>
          <t>W07-005</t>
        </is>
      </c>
      <c r="B8" s="25" t="inlineStr">
        <is>
          <t>W07</t>
        </is>
      </c>
      <c r="C8" s="6" t="inlineStr">
        <is>
          <t>Sipariş onayı sonrası yönlendirme</t>
        </is>
      </c>
      <c r="D8" s="6" t="inlineStr">
        <is>
          <t>Ödeme başarılı.</t>
        </is>
      </c>
      <c r="E8" s="6" t="inlineStr">
        <is>
          <t>1. PayTR sonrası yönlendirmeyi bekle</t>
        </is>
      </c>
      <c r="F8" s="6" t="inlineStr">
        <is>
          <t>/checkout/success sayfası açılır; sipariş no, e-posta bildirimi gelir.</t>
        </is>
      </c>
      <c r="G8" s="6" t="inlineStr"/>
      <c r="H8" s="14" t="inlineStr">
        <is>
          <t>Beklemede</t>
        </is>
      </c>
      <c r="I8" s="25" t="inlineStr"/>
      <c r="J8" s="25" t="inlineStr"/>
      <c r="K8" s="25" t="inlineStr"/>
      <c r="L8" s="14" t="inlineStr">
        <is>
          <t>Orta</t>
        </is>
      </c>
      <c r="M8" s="6" t="inlineStr"/>
    </row>
    <row r="9" ht="40" customHeight="1">
      <c r="A9" s="16" t="inlineStr">
        <is>
          <t>W07-006</t>
        </is>
      </c>
      <c r="B9" s="26" t="inlineStr">
        <is>
          <t>W07</t>
        </is>
      </c>
      <c r="C9" s="18" t="inlineStr">
        <is>
          <t>İndirim kuponunu checkout'ta uygulama</t>
        </is>
      </c>
      <c r="D9" s="18" t="inlineStr">
        <is>
          <t>Aktif kupon.</t>
        </is>
      </c>
      <c r="E9" s="18" t="inlineStr">
        <is>
          <t>1. Kupon alanına kodu gir, Uygula</t>
        </is>
      </c>
      <c r="F9" s="18" t="inlineStr">
        <is>
          <t>İndirim toplamdan düşülür; kullanım limiti varsa kontrol edilir.</t>
        </is>
      </c>
      <c r="G9" s="18" t="inlineStr"/>
      <c r="H9" s="16" t="inlineStr">
        <is>
          <t>Beklemede</t>
        </is>
      </c>
      <c r="I9" s="26" t="inlineStr"/>
      <c r="J9" s="26" t="inlineStr"/>
      <c r="K9" s="26" t="inlineStr"/>
      <c r="L9" s="16" t="inlineStr">
        <is>
          <t>Orta</t>
        </is>
      </c>
      <c r="M9" s="18" t="inlineStr"/>
    </row>
    <row r="10" ht="40" customHeight="1">
      <c r="A10" s="14" t="inlineStr">
        <is>
          <t>W07-007</t>
        </is>
      </c>
      <c r="B10" s="25" t="inlineStr">
        <is>
          <t>W07</t>
        </is>
      </c>
      <c r="C10" s="6" t="inlineStr">
        <is>
          <t>Üyelik tier indirimi otomatik uygulanır</t>
        </is>
      </c>
      <c r="D10" s="6" t="inlineStr">
        <is>
          <t>Premium/Business üye.</t>
        </is>
      </c>
      <c r="E10" s="6" t="inlineStr">
        <is>
          <t>1. Sipariş özetini incele</t>
        </is>
      </c>
      <c r="F10" s="6" t="inlineStr">
        <is>
          <t>Tier indirimi açıkça gösterilir.</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W08 — PayTR Ödeme Akışı</t>
        </is>
      </c>
    </row>
    <row r="2" ht="28" customHeight="1">
      <c r="A2" s="24" t="inlineStr">
        <is>
          <t>iFrame ödeme, 3D Secure, başarısız ödeme, callback.</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W08-001</t>
        </is>
      </c>
      <c r="B4" s="25" t="inlineStr">
        <is>
          <t>W08</t>
        </is>
      </c>
      <c r="C4" s="6" t="inlineStr">
        <is>
          <t>PayTR iFrame yüklenmesi</t>
        </is>
      </c>
      <c r="D4" s="6" t="inlineStr">
        <is>
          <t>Sipariş onaylandı.</t>
        </is>
      </c>
      <c r="E4" s="6" t="inlineStr">
        <is>
          <t>1. Onay sonrası iFrame'i bekle</t>
        </is>
      </c>
      <c r="F4" s="6" t="inlineStr">
        <is>
          <t>PayTR iFrame sorunsuz açılır; sipariş tutarı görünür.</t>
        </is>
      </c>
      <c r="G4" s="6" t="inlineStr"/>
      <c r="H4" s="14" t="inlineStr">
        <is>
          <t>Beklemede</t>
        </is>
      </c>
      <c r="I4" s="25" t="inlineStr"/>
      <c r="J4" s="25" t="inlineStr"/>
      <c r="K4" s="25" t="inlineStr"/>
      <c r="L4" s="14" t="inlineStr">
        <is>
          <t>Kritik</t>
        </is>
      </c>
      <c r="M4" s="6" t="inlineStr"/>
    </row>
    <row r="5" ht="40" customHeight="1">
      <c r="A5" s="16" t="inlineStr">
        <is>
          <t>W08-002</t>
        </is>
      </c>
      <c r="B5" s="26" t="inlineStr">
        <is>
          <t>W08</t>
        </is>
      </c>
      <c r="C5" s="18" t="inlineStr">
        <is>
          <t>Geçerli test kartı ile ödeme</t>
        </is>
      </c>
      <c r="D5" s="18" t="inlineStr">
        <is>
          <t>Test ortamı, PayTR test kartı.</t>
        </is>
      </c>
      <c r="E5" s="18" t="inlineStr">
        <is>
          <t>1. Kart bilgilerini gir
2. 3D Secure adımını tamamla</t>
        </is>
      </c>
      <c r="F5" s="18" t="inlineStr">
        <is>
          <t>Başarılı; /checkout/success'e yönlendirme; webhook'la sipariş 'preparing' olur.</t>
        </is>
      </c>
      <c r="G5" s="18" t="inlineStr"/>
      <c r="H5" s="16" t="inlineStr">
        <is>
          <t>Beklemede</t>
        </is>
      </c>
      <c r="I5" s="26" t="inlineStr"/>
      <c r="J5" s="26" t="inlineStr"/>
      <c r="K5" s="26" t="inlineStr"/>
      <c r="L5" s="16" t="inlineStr">
        <is>
          <t>Kritik</t>
        </is>
      </c>
      <c r="M5" s="18" t="inlineStr"/>
    </row>
    <row r="6" ht="40" customHeight="1">
      <c r="A6" s="14" t="inlineStr">
        <is>
          <t>W08-003</t>
        </is>
      </c>
      <c r="B6" s="25" t="inlineStr">
        <is>
          <t>W08</t>
        </is>
      </c>
      <c r="C6" s="6" t="inlineStr">
        <is>
          <t>Yetersiz bakiye / ret kart</t>
        </is>
      </c>
      <c r="D6" s="6" t="inlineStr">
        <is>
          <t>Test ret kartı.</t>
        </is>
      </c>
      <c r="E6" s="6" t="inlineStr">
        <is>
          <t>1. Reddedilen kart ile dene</t>
        </is>
      </c>
      <c r="F6" s="6" t="inlineStr">
        <is>
          <t>/payment/fail veya hata; sipariş pending; sepet korunur.</t>
        </is>
      </c>
      <c r="G6" s="6" t="inlineStr"/>
      <c r="H6" s="14" t="inlineStr">
        <is>
          <t>Beklemede</t>
        </is>
      </c>
      <c r="I6" s="25" t="inlineStr"/>
      <c r="J6" s="25" t="inlineStr"/>
      <c r="K6" s="25" t="inlineStr"/>
      <c r="L6" s="14" t="inlineStr">
        <is>
          <t>Orta</t>
        </is>
      </c>
      <c r="M6" s="6" t="inlineStr"/>
    </row>
    <row r="7" ht="40" customHeight="1">
      <c r="A7" s="16" t="inlineStr">
        <is>
          <t>W08-004</t>
        </is>
      </c>
      <c r="B7" s="26" t="inlineStr">
        <is>
          <t>W08</t>
        </is>
      </c>
      <c r="C7" s="18" t="inlineStr">
        <is>
          <t>3D Secure'da kullanıcı iptal</t>
        </is>
      </c>
      <c r="D7" s="18" t="inlineStr">
        <is>
          <t>—</t>
        </is>
      </c>
      <c r="E7" s="18" t="inlineStr">
        <is>
          <t>1. Banka SMS'inde iptal et</t>
        </is>
      </c>
      <c r="F7" s="18" t="inlineStr">
        <is>
          <t>Hata; tekrar dene seçeneği; stok rezervi geri verilir.</t>
        </is>
      </c>
      <c r="G7" s="18" t="inlineStr"/>
      <c r="H7" s="16" t="inlineStr">
        <is>
          <t>Beklemede</t>
        </is>
      </c>
      <c r="I7" s="26" t="inlineStr"/>
      <c r="J7" s="26" t="inlineStr"/>
      <c r="K7" s="26" t="inlineStr"/>
      <c r="L7" s="16" t="inlineStr">
        <is>
          <t>Orta</t>
        </is>
      </c>
      <c r="M7" s="18" t="inlineStr"/>
    </row>
    <row r="8" ht="40" customHeight="1">
      <c r="A8" s="14" t="inlineStr">
        <is>
          <t>W08-005</t>
        </is>
      </c>
      <c r="B8" s="25" t="inlineStr">
        <is>
          <t>W08</t>
        </is>
      </c>
      <c r="C8" s="6" t="inlineStr">
        <is>
          <t>iFrame ortasında pencere kapatma</t>
        </is>
      </c>
      <c r="D8" s="6" t="inlineStr">
        <is>
          <t>Ödeme başlatıldı.</t>
        </is>
      </c>
      <c r="E8" s="6" t="inlineStr">
        <is>
          <t>1. Tarayıcı sekmesini kapat</t>
        </is>
      </c>
      <c r="F8" s="6" t="inlineStr">
        <is>
          <t>Sipariş 15 dk pending kalır; otomatik iptal cron'u tetiklenir; stok serbest bırakılır.</t>
        </is>
      </c>
      <c r="G8" s="6" t="inlineStr"/>
      <c r="H8" s="14" t="inlineStr">
        <is>
          <t>Beklemede</t>
        </is>
      </c>
      <c r="I8" s="25" t="inlineStr"/>
      <c r="J8" s="25" t="inlineStr"/>
      <c r="K8" s="25" t="inlineStr"/>
      <c r="L8" s="14" t="inlineStr">
        <is>
          <t>Orta</t>
        </is>
      </c>
      <c r="M8" s="6" t="inlineStr"/>
    </row>
    <row r="9" ht="40" customHeight="1">
      <c r="A9" s="16" t="inlineStr">
        <is>
          <t>W08-006</t>
        </is>
      </c>
      <c r="B9" s="26" t="inlineStr">
        <is>
          <t>W08</t>
        </is>
      </c>
      <c r="C9" s="18" t="inlineStr">
        <is>
          <t>Callback hash doğrulama (negatif)</t>
        </is>
      </c>
      <c r="D9" s="18" t="inlineStr">
        <is>
          <t>Manuel webhook hash bozuk.</t>
        </is>
      </c>
      <c r="E9" s="18" t="inlineStr">
        <is>
          <t>1. Backend manuel test ile geçersiz callback gönder</t>
        </is>
      </c>
      <c r="F9" s="18" t="inlineStr">
        <is>
          <t>Webhook reddedilir; sipariş güncellenmez; log'a düşer.</t>
        </is>
      </c>
      <c r="G9" s="18" t="inlineStr"/>
      <c r="H9" s="16" t="inlineStr">
        <is>
          <t>Beklemede</t>
        </is>
      </c>
      <c r="I9" s="26" t="inlineStr"/>
      <c r="J9" s="26" t="inlineStr"/>
      <c r="K9" s="26" t="inlineStr"/>
      <c r="L9" s="16" t="inlineStr">
        <is>
          <t>Kritik</t>
        </is>
      </c>
      <c r="M9" s="18" t="inlineStr"/>
    </row>
    <row r="10" ht="40" customHeight="1">
      <c r="A10" s="14" t="inlineStr">
        <is>
          <t>W08-007</t>
        </is>
      </c>
      <c r="B10" s="25" t="inlineStr">
        <is>
          <t>W08</t>
        </is>
      </c>
      <c r="C10" s="6" t="inlineStr">
        <is>
          <t>Ödeme retry akışı</t>
        </is>
      </c>
      <c r="D10" s="6" t="inlineStr">
        <is>
          <t>Bir kez başarısız ödeme.</t>
        </is>
      </c>
      <c r="E10" s="6" t="inlineStr">
        <is>
          <t>1. Sepete dön, tekrar checkout</t>
        </is>
      </c>
      <c r="F10" s="6" t="inlineStr">
        <is>
          <t>Yeni ödeme başlatılabilir; eski payment failed olarak kalır.</t>
        </is>
      </c>
      <c r="G10" s="6" t="inlineStr"/>
      <c r="H10" s="14" t="inlineStr">
        <is>
          <t>Beklemede</t>
        </is>
      </c>
      <c r="I10" s="25" t="inlineStr"/>
      <c r="J10" s="25" t="inlineStr"/>
      <c r="K10" s="25" t="inlineStr"/>
      <c r="L10" s="14" t="inlineStr">
        <is>
          <t>Orta</t>
        </is>
      </c>
      <c r="M10" s="6" t="inlineStr"/>
    </row>
    <row r="11" ht="40" customHeight="1">
      <c r="A11" s="16" t="inlineStr">
        <is>
          <t>W08-008</t>
        </is>
      </c>
      <c r="B11" s="26" t="inlineStr">
        <is>
          <t>W08</t>
        </is>
      </c>
      <c r="C11" s="18" t="inlineStr">
        <is>
          <t>Ödeme timeout reconciliation</t>
        </is>
      </c>
      <c r="D11" s="18" t="inlineStr">
        <is>
          <t>Pending ödeme 15+ dk.</t>
        </is>
      </c>
      <c r="E11" s="18" t="inlineStr">
        <is>
          <t>1. Cron'un sonucunu bekle</t>
        </is>
      </c>
      <c r="F11" s="18" t="inlineStr">
        <is>
          <t>Sistem PayTR API'den durumu sorgular; sonuca göre günceller.</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W09 — Siparişlerim (Alıcı) Listesi</t>
        </is>
      </c>
    </row>
    <row r="2" ht="28" customHeight="1">
      <c r="A2" s="24" t="inlineStr">
        <is>
          <t>Sipariş listesi, filtre, durum rozetleri, satıcı/alıcı sekmesi.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W09-001</t>
        </is>
      </c>
      <c r="B4" s="25" t="inlineStr">
        <is>
          <t>W09</t>
        </is>
      </c>
      <c r="C4" s="6" t="inlineStr">
        <is>
          <t>Sipariş listesi yükleme</t>
        </is>
      </c>
      <c r="D4" s="6" t="inlineStr">
        <is>
          <t>Üye, en az 1 sipariş.</t>
        </is>
      </c>
      <c r="E4" s="6" t="inlineStr">
        <is>
          <t>1. /orders aç</t>
        </is>
      </c>
      <c r="F4" s="6" t="inlineStr">
        <is>
          <t>Tüm siparişler tarihe göre listelenir; durum rozetleri renkli.</t>
        </is>
      </c>
      <c r="G4" s="6" t="inlineStr"/>
      <c r="H4" s="14" t="inlineStr">
        <is>
          <t>Beklemede</t>
        </is>
      </c>
      <c r="I4" s="25" t="inlineStr"/>
      <c r="J4" s="25" t="inlineStr"/>
      <c r="K4" s="25" t="inlineStr"/>
      <c r="L4" s="14" t="inlineStr">
        <is>
          <t>Kritik</t>
        </is>
      </c>
      <c r="M4" s="6" t="inlineStr"/>
    </row>
    <row r="5" ht="40" customHeight="1">
      <c r="A5" s="16" t="inlineStr">
        <is>
          <t>W09-002</t>
        </is>
      </c>
      <c r="B5" s="26" t="inlineStr">
        <is>
          <t>W09</t>
        </is>
      </c>
      <c r="C5" s="18" t="inlineStr">
        <is>
          <t>Alıcı / Satıcı sekme geçişi</t>
        </is>
      </c>
      <c r="D5" s="18" t="inlineStr">
        <is>
          <t>Hem alıcı hem satıcı kullanıcı.</t>
        </is>
      </c>
      <c r="E5" s="18" t="inlineStr">
        <is>
          <t>1. Sekmeleri değiştir</t>
        </is>
      </c>
      <c r="F5" s="18" t="inlineStr">
        <is>
          <t>Liste filtrelenir; sayaçlar doğru.</t>
        </is>
      </c>
      <c r="G5" s="18" t="inlineStr"/>
      <c r="H5" s="16" t="inlineStr">
        <is>
          <t>Beklemede</t>
        </is>
      </c>
      <c r="I5" s="26" t="inlineStr"/>
      <c r="J5" s="26" t="inlineStr"/>
      <c r="K5" s="26" t="inlineStr"/>
      <c r="L5" s="16" t="inlineStr">
        <is>
          <t>Orta</t>
        </is>
      </c>
      <c r="M5" s="18" t="inlineStr"/>
    </row>
    <row r="6" ht="40" customHeight="1">
      <c r="A6" s="14" t="inlineStr">
        <is>
          <t>W09-003</t>
        </is>
      </c>
      <c r="B6" s="25" t="inlineStr">
        <is>
          <t>W09</t>
        </is>
      </c>
      <c r="C6" s="6" t="inlineStr">
        <is>
          <t>Durum filtresi</t>
        </is>
      </c>
      <c r="D6" s="6" t="inlineStr">
        <is>
          <t>Farklı durumlu siparişler.</t>
        </is>
      </c>
      <c r="E6" s="6" t="inlineStr">
        <is>
          <t>1. Filtre dropdown'undan 'Kargoda' seç</t>
        </is>
      </c>
      <c r="F6" s="6" t="inlineStr">
        <is>
          <t>Sadece kargoda olanlar listelenir.</t>
        </is>
      </c>
      <c r="G6" s="6" t="inlineStr"/>
      <c r="H6" s="14" t="inlineStr">
        <is>
          <t>Beklemede</t>
        </is>
      </c>
      <c r="I6" s="25" t="inlineStr"/>
      <c r="J6" s="25" t="inlineStr"/>
      <c r="K6" s="25" t="inlineStr"/>
      <c r="L6" s="14" t="inlineStr">
        <is>
          <t>Orta</t>
        </is>
      </c>
      <c r="M6" s="6" t="inlineStr"/>
    </row>
    <row r="7" ht="40" customHeight="1">
      <c r="A7" s="16" t="inlineStr">
        <is>
          <t>W09-004</t>
        </is>
      </c>
      <c r="B7" s="26" t="inlineStr">
        <is>
          <t>W09</t>
        </is>
      </c>
      <c r="C7" s="18" t="inlineStr">
        <is>
          <t>Sipariş ara (no veya ürün adı)</t>
        </is>
      </c>
      <c r="D7" s="18" t="inlineStr">
        <is>
          <t>—</t>
        </is>
      </c>
      <c r="E7" s="18" t="inlineStr">
        <is>
          <t>1. Arama kutusuna sipariş no yaz</t>
        </is>
      </c>
      <c r="F7" s="18" t="inlineStr">
        <is>
          <t>İlgili sipariş(ler) bulunur.</t>
        </is>
      </c>
      <c r="G7" s="18" t="inlineStr"/>
      <c r="H7" s="16" t="inlineStr">
        <is>
          <t>Beklemede</t>
        </is>
      </c>
      <c r="I7" s="26" t="inlineStr"/>
      <c r="J7" s="26" t="inlineStr"/>
      <c r="K7" s="26" t="inlineStr"/>
      <c r="L7" s="16" t="inlineStr">
        <is>
          <t>Orta</t>
        </is>
      </c>
      <c r="M7" s="18" t="inlineStr"/>
    </row>
    <row r="8" ht="40" customHeight="1">
      <c r="A8" s="14" t="inlineStr">
        <is>
          <t>W09-005</t>
        </is>
      </c>
      <c r="B8" s="25" t="inlineStr">
        <is>
          <t>W09</t>
        </is>
      </c>
      <c r="C8" s="6" t="inlineStr">
        <is>
          <t>Boş liste durumu (yeni hesap)</t>
        </is>
      </c>
      <c r="D8" s="6" t="inlineStr">
        <is>
          <t>Hiç sipariş yok.</t>
        </is>
      </c>
      <c r="E8" s="6" t="inlineStr">
        <is>
          <t>1. /orders aç</t>
        </is>
      </c>
      <c r="F8" s="6" t="inlineStr">
        <is>
          <t>“Henüz siparişiniz yok” + alışverişe başla butonu.</t>
        </is>
      </c>
      <c r="G8" s="6" t="inlineStr"/>
      <c r="H8" s="14" t="inlineStr">
        <is>
          <t>Beklemede</t>
        </is>
      </c>
      <c r="I8" s="25" t="inlineStr"/>
      <c r="J8" s="25" t="inlineStr"/>
      <c r="K8" s="25" t="inlineStr"/>
      <c r="L8" s="14" t="inlineStr">
        <is>
          <t>Orta</t>
        </is>
      </c>
      <c r="M8" s="6" t="inlineStr"/>
    </row>
    <row r="9" ht="40" customHeight="1">
      <c r="A9" s="16" t="inlineStr">
        <is>
          <t>W09-006</t>
        </is>
      </c>
      <c r="B9" s="26" t="inlineStr">
        <is>
          <t>W09</t>
        </is>
      </c>
      <c r="C9" s="18" t="inlineStr">
        <is>
          <t>Sayfalama veya sonsuz scroll</t>
        </is>
      </c>
      <c r="D9" s="18" t="inlineStr">
        <is>
          <t>Çok sipariş.</t>
        </is>
      </c>
      <c r="E9" s="18" t="inlineStr">
        <is>
          <t>1. Aşağı scroll / sonraki sayfa</t>
        </is>
      </c>
      <c r="F9" s="18" t="inlineStr">
        <is>
          <t>Eski siparişler yüklenir; performans kabul edilebilir.</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W10 — Sipariş Detayı, Kargo Takibi, Yorum</t>
        </is>
      </c>
    </row>
    <row r="2" ht="28" customHeight="1">
      <c r="A2" s="24" t="inlineStr">
        <is>
          <t>Sipariş timeline, kargo takip, satıcıya mesaj, yorum yazma.</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W10-001</t>
        </is>
      </c>
      <c r="B4" s="25" t="inlineStr">
        <is>
          <t>W10</t>
        </is>
      </c>
      <c r="C4" s="6" t="inlineStr">
        <is>
          <t>Sipariş detay sayfası</t>
        </is>
      </c>
      <c r="D4" s="6" t="inlineStr">
        <is>
          <t>Aktif bir sipariş.</t>
        </is>
      </c>
      <c r="E4" s="6" t="inlineStr">
        <is>
          <t>1. /orders/[id] aç</t>
        </is>
      </c>
      <c r="F4" s="6" t="inlineStr">
        <is>
          <t>Ürünler, kargo, ödeme, satıcı, durum timeline eksiksiz.</t>
        </is>
      </c>
      <c r="G4" s="6" t="inlineStr"/>
      <c r="H4" s="14" t="inlineStr">
        <is>
          <t>Beklemede</t>
        </is>
      </c>
      <c r="I4" s="25" t="inlineStr"/>
      <c r="J4" s="25" t="inlineStr"/>
      <c r="K4" s="25" t="inlineStr"/>
      <c r="L4" s="14" t="inlineStr">
        <is>
          <t>Kritik</t>
        </is>
      </c>
      <c r="M4" s="6" t="inlineStr"/>
    </row>
    <row r="5" ht="40" customHeight="1">
      <c r="A5" s="16" t="inlineStr">
        <is>
          <t>W10-002</t>
        </is>
      </c>
      <c r="B5" s="26" t="inlineStr">
        <is>
          <t>W10</t>
        </is>
      </c>
      <c r="C5" s="18" t="inlineStr">
        <is>
          <t>Durum timeline</t>
        </is>
      </c>
      <c r="D5" s="18" t="inlineStr">
        <is>
          <t>—</t>
        </is>
      </c>
      <c r="E5" s="18" t="inlineStr">
        <is>
          <t>1. Timeline'ı incele</t>
        </is>
      </c>
      <c r="F5" s="18" t="inlineStr">
        <is>
          <t>Durum geçişleri kronolojik, tarih/saat ile görünür.</t>
        </is>
      </c>
      <c r="G5" s="18" t="inlineStr"/>
      <c r="H5" s="16" t="inlineStr">
        <is>
          <t>Beklemede</t>
        </is>
      </c>
      <c r="I5" s="26" t="inlineStr"/>
      <c r="J5" s="26" t="inlineStr"/>
      <c r="K5" s="26" t="inlineStr"/>
      <c r="L5" s="16" t="inlineStr">
        <is>
          <t>Orta</t>
        </is>
      </c>
      <c r="M5" s="18" t="inlineStr"/>
    </row>
    <row r="6" ht="40" customHeight="1">
      <c r="A6" s="14" t="inlineStr">
        <is>
          <t>W10-003</t>
        </is>
      </c>
      <c r="B6" s="25" t="inlineStr">
        <is>
          <t>W10</t>
        </is>
      </c>
      <c r="C6" s="6" t="inlineStr">
        <is>
          <t>Kargo takip linkine tıklama</t>
        </is>
      </c>
      <c r="D6" s="6" t="inlineStr">
        <is>
          <t>Kargolanmış sipariş, tracking no var.</t>
        </is>
      </c>
      <c r="E6" s="6" t="inlineStr">
        <is>
          <t>1. 'Kargoyu Takip Et'e bas</t>
        </is>
      </c>
      <c r="F6" s="6" t="inlineStr">
        <is>
          <t>Kargo şirketi sitesi açılır veya gömülü iframe; doğru tracking no.</t>
        </is>
      </c>
      <c r="G6" s="6" t="inlineStr"/>
      <c r="H6" s="14" t="inlineStr">
        <is>
          <t>Beklemede</t>
        </is>
      </c>
      <c r="I6" s="25" t="inlineStr"/>
      <c r="J6" s="25" t="inlineStr"/>
      <c r="K6" s="25" t="inlineStr"/>
      <c r="L6" s="14" t="inlineStr">
        <is>
          <t>Orta</t>
        </is>
      </c>
      <c r="M6" s="6" t="inlineStr"/>
    </row>
    <row r="7" ht="40" customHeight="1">
      <c r="A7" s="16" t="inlineStr">
        <is>
          <t>W10-004</t>
        </is>
      </c>
      <c r="B7" s="26" t="inlineStr">
        <is>
          <t>W10</t>
        </is>
      </c>
      <c r="C7" s="18" t="inlineStr">
        <is>
          <t>Sipariş özeti PDF / yazdırma</t>
        </is>
      </c>
      <c r="D7" s="18" t="inlineStr">
        <is>
          <t>—</t>
        </is>
      </c>
      <c r="E7" s="18" t="inlineStr">
        <is>
          <t>1. 'Yazdır' butonuna bas</t>
        </is>
      </c>
      <c r="F7" s="18" t="inlineStr">
        <is>
          <t>Yazdırılabilir özet açılır.</t>
        </is>
      </c>
      <c r="G7" s="18" t="inlineStr"/>
      <c r="H7" s="16" t="inlineStr">
        <is>
          <t>Beklemede</t>
        </is>
      </c>
      <c r="I7" s="26" t="inlineStr"/>
      <c r="J7" s="26" t="inlineStr"/>
      <c r="K7" s="26" t="inlineStr"/>
      <c r="L7" s="16" t="inlineStr">
        <is>
          <t>Orta</t>
        </is>
      </c>
      <c r="M7" s="18" t="inlineStr"/>
    </row>
    <row r="8" ht="40" customHeight="1">
      <c r="A8" s="14" t="inlineStr">
        <is>
          <t>W10-005</t>
        </is>
      </c>
      <c r="B8" s="25" t="inlineStr">
        <is>
          <t>W10</t>
        </is>
      </c>
      <c r="C8" s="6" t="inlineStr">
        <is>
          <t>Satıcıya mesaj atma</t>
        </is>
      </c>
      <c r="D8" s="6" t="inlineStr">
        <is>
          <t>—</t>
        </is>
      </c>
      <c r="E8" s="6" t="inlineStr">
        <is>
          <t>1. 'Satıcıya Mesaj' linkine bas</t>
        </is>
      </c>
      <c r="F8" s="6" t="inlineStr">
        <is>
          <t>/messages thread'i açılır, sipariş bağlamı eklenir.</t>
        </is>
      </c>
      <c r="G8" s="6" t="inlineStr"/>
      <c r="H8" s="14" t="inlineStr">
        <is>
          <t>Beklemede</t>
        </is>
      </c>
      <c r="I8" s="25" t="inlineStr"/>
      <c r="J8" s="25" t="inlineStr"/>
      <c r="K8" s="25" t="inlineStr"/>
      <c r="L8" s="14" t="inlineStr">
        <is>
          <t>Orta</t>
        </is>
      </c>
      <c r="M8" s="6" t="inlineStr"/>
    </row>
    <row r="9" ht="40" customHeight="1">
      <c r="A9" s="16" t="inlineStr">
        <is>
          <t>W10-006</t>
        </is>
      </c>
      <c r="B9" s="26" t="inlineStr">
        <is>
          <t>W10</t>
        </is>
      </c>
      <c r="C9" s="18" t="inlineStr">
        <is>
          <t>Teslim alındıktan sonra yorum yazma</t>
        </is>
      </c>
      <c r="D9" s="18" t="inlineStr">
        <is>
          <t>Sipariş 'delivered'.</t>
        </is>
      </c>
      <c r="E9" s="18" t="inlineStr">
        <is>
          <t>1. 'Yorum Yap'a bas, yıldız ver, metin yaz, gönder</t>
        </is>
      </c>
      <c r="F9" s="18" t="inlineStr">
        <is>
          <t>Yorum gönderilir; satıcının ürün sayfasında moderasyon sonrası görünür.</t>
        </is>
      </c>
      <c r="G9" s="18" t="inlineStr"/>
      <c r="H9" s="16" t="inlineStr">
        <is>
          <t>Beklemede</t>
        </is>
      </c>
      <c r="I9" s="26" t="inlineStr"/>
      <c r="J9" s="26" t="inlineStr"/>
      <c r="K9" s="26" t="inlineStr"/>
      <c r="L9" s="16" t="inlineStr">
        <is>
          <t>Orta</t>
        </is>
      </c>
      <c r="M9" s="18" t="inlineStr"/>
    </row>
    <row r="10" ht="40" customHeight="1">
      <c r="A10" s="14" t="inlineStr">
        <is>
          <t>W10-007</t>
        </is>
      </c>
      <c r="B10" s="25" t="inlineStr">
        <is>
          <t>W10</t>
        </is>
      </c>
      <c r="C10" s="6" t="inlineStr">
        <is>
          <t>Fatura indirme</t>
        </is>
      </c>
      <c r="D10" s="6" t="inlineStr">
        <is>
          <t>Fatura oluşturulmuş.</t>
        </is>
      </c>
      <c r="E10" s="6" t="inlineStr">
        <is>
          <t>1. 'Fatura İndir' linkine bas</t>
        </is>
      </c>
      <c r="F10" s="6" t="inlineStr">
        <is>
          <t>PDF açılır/indirir; vergi, KDV, kalemler doğru.</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W11 — Sipariş İptal Akışı</t>
        </is>
      </c>
    </row>
    <row r="2" ht="28" customHeight="1">
      <c r="A2" s="24" t="inlineStr">
        <is>
          <t>Kargolanmadan önce/sonra iptal, satıcı onayı, otomatik iade.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W11-001</t>
        </is>
      </c>
      <c r="B4" s="25" t="inlineStr">
        <is>
          <t>W11</t>
        </is>
      </c>
      <c r="C4" s="6" t="inlineStr">
        <is>
          <t>Ödeme bekleyen siparişi iptal</t>
        </is>
      </c>
      <c r="D4" s="6" t="inlineStr">
        <is>
          <t>Sipariş 'pending_payment'.</t>
        </is>
      </c>
      <c r="E4" s="6" t="inlineStr">
        <is>
          <t>1. Detayda 'Siparişi İptal Et'e bas</t>
        </is>
      </c>
      <c r="F4" s="6" t="inlineStr">
        <is>
          <t>Sipariş anında iptal; stok serbest; herhangi bir ücret yok.</t>
        </is>
      </c>
      <c r="G4" s="6" t="inlineStr"/>
      <c r="H4" s="14" t="inlineStr">
        <is>
          <t>Beklemede</t>
        </is>
      </c>
      <c r="I4" s="25" t="inlineStr"/>
      <c r="J4" s="25" t="inlineStr"/>
      <c r="K4" s="25" t="inlineStr"/>
      <c r="L4" s="14" t="inlineStr">
        <is>
          <t>Yüksek</t>
        </is>
      </c>
      <c r="M4" s="6" t="inlineStr"/>
    </row>
    <row r="5" ht="40" customHeight="1">
      <c r="A5" s="16" t="inlineStr">
        <is>
          <t>W11-002</t>
        </is>
      </c>
      <c r="B5" s="26" t="inlineStr">
        <is>
          <t>W11</t>
        </is>
      </c>
      <c r="C5" s="18" t="inlineStr">
        <is>
          <t>Hazırlanıyor durumunda iptal isteği</t>
        </is>
      </c>
      <c r="D5" s="18" t="inlineStr">
        <is>
          <t>Sipariş 'preparing'.</t>
        </is>
      </c>
      <c r="E5" s="18" t="inlineStr">
        <is>
          <t>1. İptal İsteği Oluştur</t>
        </is>
      </c>
      <c r="F5" s="18" t="inlineStr">
        <is>
          <t>Satıcıya iptal talebi gider; durum 'cancel_requested'.</t>
        </is>
      </c>
      <c r="G5" s="18" t="inlineStr"/>
      <c r="H5" s="16" t="inlineStr">
        <is>
          <t>Beklemede</t>
        </is>
      </c>
      <c r="I5" s="26" t="inlineStr"/>
      <c r="J5" s="26" t="inlineStr"/>
      <c r="K5" s="26" t="inlineStr"/>
      <c r="L5" s="16" t="inlineStr">
        <is>
          <t>Orta</t>
        </is>
      </c>
      <c r="M5" s="18" t="inlineStr"/>
    </row>
    <row r="6" ht="40" customHeight="1">
      <c r="A6" s="14" t="inlineStr">
        <is>
          <t>W11-003</t>
        </is>
      </c>
      <c r="B6" s="25" t="inlineStr">
        <is>
          <t>W11</t>
        </is>
      </c>
      <c r="C6" s="6" t="inlineStr">
        <is>
          <t>Satıcı iptal talebini kabul</t>
        </is>
      </c>
      <c r="D6" s="6" t="inlineStr">
        <is>
          <t>Cancel-requested sipariş.</t>
        </is>
      </c>
      <c r="E6" s="6" t="inlineStr">
        <is>
          <t>1. (Satıcı tarafında) Onayla</t>
        </is>
      </c>
      <c r="F6" s="6" t="inlineStr">
        <is>
          <t>Sipariş iptal; PayTR otomatik refund tetiklenir; alıcıya mail.</t>
        </is>
      </c>
      <c r="G6" s="6" t="inlineStr"/>
      <c r="H6" s="14" t="inlineStr">
        <is>
          <t>Beklemede</t>
        </is>
      </c>
      <c r="I6" s="25" t="inlineStr"/>
      <c r="J6" s="25" t="inlineStr"/>
      <c r="K6" s="25" t="inlineStr"/>
      <c r="L6" s="14" t="inlineStr">
        <is>
          <t>Orta</t>
        </is>
      </c>
      <c r="M6" s="6" t="inlineStr"/>
    </row>
    <row r="7" ht="40" customHeight="1">
      <c r="A7" s="16" t="inlineStr">
        <is>
          <t>W11-004</t>
        </is>
      </c>
      <c r="B7" s="26" t="inlineStr">
        <is>
          <t>W11</t>
        </is>
      </c>
      <c r="C7" s="18" t="inlineStr">
        <is>
          <t>Satıcı iptal talebini reddetti</t>
        </is>
      </c>
      <c r="D7" s="18" t="inlineStr">
        <is>
          <t>—</t>
        </is>
      </c>
      <c r="E7" s="18" t="inlineStr">
        <is>
          <t>1. Satıcı reddeder</t>
        </is>
      </c>
      <c r="F7" s="18" t="inlineStr">
        <is>
          <t>Talep kapanır; alıcıya bilgi maili; iade için teslimat sonrasını beklemesi gerekir.</t>
        </is>
      </c>
      <c r="G7" s="18" t="inlineStr"/>
      <c r="H7" s="16" t="inlineStr">
        <is>
          <t>Beklemede</t>
        </is>
      </c>
      <c r="I7" s="26" t="inlineStr"/>
      <c r="J7" s="26" t="inlineStr"/>
      <c r="K7" s="26" t="inlineStr"/>
      <c r="L7" s="16" t="inlineStr">
        <is>
          <t>Orta</t>
        </is>
      </c>
      <c r="M7" s="18" t="inlineStr"/>
    </row>
    <row r="8" ht="40" customHeight="1">
      <c r="A8" s="14" t="inlineStr">
        <is>
          <t>W11-005</t>
        </is>
      </c>
      <c r="B8" s="25" t="inlineStr">
        <is>
          <t>W11</t>
        </is>
      </c>
      <c r="C8" s="6" t="inlineStr">
        <is>
          <t>Kargolanmış sipariş için iptal denemesi</t>
        </is>
      </c>
      <c r="D8" s="6" t="inlineStr">
        <is>
          <t>Sipariş 'shipped'.</t>
        </is>
      </c>
      <c r="E8" s="6" t="inlineStr">
        <is>
          <t>1. İptal butonu aramak</t>
        </is>
      </c>
      <c r="F8" s="6" t="inlineStr">
        <is>
          <t>İptal mevcut değil; 'İade Talebi' yönlendirmesi gösterilir.</t>
        </is>
      </c>
      <c r="G8" s="6" t="inlineStr"/>
      <c r="H8" s="14" t="inlineStr">
        <is>
          <t>Beklemede</t>
        </is>
      </c>
      <c r="I8" s="25" t="inlineStr"/>
      <c r="J8" s="25" t="inlineStr"/>
      <c r="K8" s="25" t="inlineStr"/>
      <c r="L8" s="14" t="inlineStr">
        <is>
          <t>Yüksek</t>
        </is>
      </c>
      <c r="M8" s="6" t="inlineStr"/>
    </row>
    <row r="9" ht="40" customHeight="1">
      <c r="A9" s="16" t="inlineStr">
        <is>
          <t>W11-006</t>
        </is>
      </c>
      <c r="B9" s="26" t="inlineStr">
        <is>
          <t>W11</t>
        </is>
      </c>
      <c r="C9" s="18" t="inlineStr">
        <is>
          <t>İptal sonrası mail bildirimi</t>
        </is>
      </c>
      <c r="D9" s="18" t="inlineStr">
        <is>
          <t>—</t>
        </is>
      </c>
      <c r="E9" s="18" t="inlineStr">
        <is>
          <t>1. İptali tamamla</t>
        </is>
      </c>
      <c r="F9" s="18" t="inlineStr">
        <is>
          <t>Hem alıcı hem satıcıya iptal maili gider.</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W12 — İade ve Değişim Akışı</t>
        </is>
      </c>
    </row>
    <row r="2" ht="28" customHeight="1">
      <c r="A2" s="24" t="inlineStr">
        <is>
          <t>Talep oluşturma, kanıt yükleme, satıcı onayı, kargo, refund.</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8" customHeight="1">
      <c r="A4" s="14" t="inlineStr">
        <is>
          <t>W12-001</t>
        </is>
      </c>
      <c r="B4" s="25" t="inlineStr">
        <is>
          <t>W12</t>
        </is>
      </c>
      <c r="C4" s="6" t="inlineStr">
        <is>
          <t>İade talebi oluşturma (delivered)</t>
        </is>
      </c>
      <c r="D4" s="6" t="inlineStr">
        <is>
          <t>Teslim edilmiş sipariş, 14 gün içinde.</t>
        </is>
      </c>
      <c r="E4" s="6" t="inlineStr">
        <is>
          <t>1. /orders/[id] aç
2. 'İade Talebi Aç'a bas
3. Sebep seç, açıklama yaz, fotoğraf yükle, gönder</t>
        </is>
      </c>
      <c r="F4" s="6" t="inlineStr">
        <is>
          <t>Talep oluşur; satıcıya bildirim/mail; durum 'pending_review'.</t>
        </is>
      </c>
      <c r="G4" s="6" t="inlineStr"/>
      <c r="H4" s="14" t="inlineStr">
        <is>
          <t>Beklemede</t>
        </is>
      </c>
      <c r="I4" s="25" t="inlineStr"/>
      <c r="J4" s="25" t="inlineStr"/>
      <c r="K4" s="25" t="inlineStr"/>
      <c r="L4" s="14" t="inlineStr">
        <is>
          <t>Kritik</t>
        </is>
      </c>
      <c r="M4" s="6" t="inlineStr"/>
    </row>
    <row r="5" ht="40" customHeight="1">
      <c r="A5" s="16" t="inlineStr">
        <is>
          <t>W12-002</t>
        </is>
      </c>
      <c r="B5" s="26" t="inlineStr">
        <is>
          <t>W12</t>
        </is>
      </c>
      <c r="C5" s="18" t="inlineStr">
        <is>
          <t>Hasar/tanım uyumsuzluğu için fotoğraf zorunluluğu</t>
        </is>
      </c>
      <c r="D5" s="18" t="inlineStr">
        <is>
          <t>Sebep 'hasarlı' seçildi.</t>
        </is>
      </c>
      <c r="E5" s="18" t="inlineStr">
        <is>
          <t>1. Fotoğraf yüklemeden gönderme deneme</t>
        </is>
      </c>
      <c r="F5" s="18" t="inlineStr">
        <is>
          <t>Form geçmez; fotoğraf zorunlu uyarısı.</t>
        </is>
      </c>
      <c r="G5" s="18" t="inlineStr"/>
      <c r="H5" s="16" t="inlineStr">
        <is>
          <t>Beklemede</t>
        </is>
      </c>
      <c r="I5" s="26" t="inlineStr"/>
      <c r="J5" s="26" t="inlineStr"/>
      <c r="K5" s="26" t="inlineStr"/>
      <c r="L5" s="16" t="inlineStr">
        <is>
          <t>Orta</t>
        </is>
      </c>
      <c r="M5" s="18" t="inlineStr"/>
    </row>
    <row r="6" ht="40" customHeight="1">
      <c r="A6" s="14" t="inlineStr">
        <is>
          <t>W12-003</t>
        </is>
      </c>
      <c r="B6" s="25" t="inlineStr">
        <is>
          <t>W12</t>
        </is>
      </c>
      <c r="C6" s="6" t="inlineStr">
        <is>
          <t>İade taleplerim listesi</t>
        </is>
      </c>
      <c r="D6" s="6" t="inlineStr">
        <is>
          <t>—</t>
        </is>
      </c>
      <c r="E6" s="6" t="inlineStr">
        <is>
          <t>1. /refund-requests aç</t>
        </is>
      </c>
      <c r="F6" s="6" t="inlineStr">
        <is>
          <t>Tüm talepler listelenir; durum filtreleri çalışır.</t>
        </is>
      </c>
      <c r="G6" s="6" t="inlineStr"/>
      <c r="H6" s="14" t="inlineStr">
        <is>
          <t>Beklemede</t>
        </is>
      </c>
      <c r="I6" s="25" t="inlineStr"/>
      <c r="J6" s="25" t="inlineStr"/>
      <c r="K6" s="25" t="inlineStr"/>
      <c r="L6" s="14" t="inlineStr">
        <is>
          <t>Orta</t>
        </is>
      </c>
      <c r="M6" s="6" t="inlineStr"/>
    </row>
    <row r="7" ht="40" customHeight="1">
      <c r="A7" s="16" t="inlineStr">
        <is>
          <t>W12-004</t>
        </is>
      </c>
      <c r="B7" s="26" t="inlineStr">
        <is>
          <t>W12</t>
        </is>
      </c>
      <c r="C7" s="18" t="inlineStr">
        <is>
          <t>Satıcı iadeyi onayladı — kargo bilgisi</t>
        </is>
      </c>
      <c r="D7" s="18" t="inlineStr">
        <is>
          <t>Durum 'approved'.</t>
        </is>
      </c>
      <c r="E7" s="18" t="inlineStr">
        <is>
          <t>1. Detayı aç</t>
        </is>
      </c>
      <c r="F7" s="18" t="inlineStr">
        <is>
          <t>İade kargo etiketi/yönergeleri görünür; takip no girilebilir.</t>
        </is>
      </c>
      <c r="G7" s="18" t="inlineStr"/>
      <c r="H7" s="16" t="inlineStr">
        <is>
          <t>Beklemede</t>
        </is>
      </c>
      <c r="I7" s="26" t="inlineStr"/>
      <c r="J7" s="26" t="inlineStr"/>
      <c r="K7" s="26" t="inlineStr"/>
      <c r="L7" s="16" t="inlineStr">
        <is>
          <t>Orta</t>
        </is>
      </c>
      <c r="M7" s="18" t="inlineStr"/>
    </row>
    <row r="8" ht="40" customHeight="1">
      <c r="A8" s="14" t="inlineStr">
        <is>
          <t>W12-005</t>
        </is>
      </c>
      <c r="B8" s="25" t="inlineStr">
        <is>
          <t>W12</t>
        </is>
      </c>
      <c r="C8" s="6" t="inlineStr">
        <is>
          <t>İade kargo gönderme</t>
        </is>
      </c>
      <c r="D8" s="6" t="inlineStr">
        <is>
          <t>—</t>
        </is>
      </c>
      <c r="E8" s="6" t="inlineStr">
        <is>
          <t>1. Tracking no gir, gönder</t>
        </is>
      </c>
      <c r="F8" s="6" t="inlineStr">
        <is>
          <t>Durum 'return_in_transit'; satıcıya bilgi.</t>
        </is>
      </c>
      <c r="G8" s="6" t="inlineStr"/>
      <c r="H8" s="14" t="inlineStr">
        <is>
          <t>Beklemede</t>
        </is>
      </c>
      <c r="I8" s="25" t="inlineStr"/>
      <c r="J8" s="25" t="inlineStr"/>
      <c r="K8" s="25" t="inlineStr"/>
      <c r="L8" s="14" t="inlineStr">
        <is>
          <t>Orta</t>
        </is>
      </c>
      <c r="M8" s="6" t="inlineStr"/>
    </row>
    <row r="9" ht="40" customHeight="1">
      <c r="A9" s="16" t="inlineStr">
        <is>
          <t>W12-006</t>
        </is>
      </c>
      <c r="B9" s="26" t="inlineStr">
        <is>
          <t>W12</t>
        </is>
      </c>
      <c r="C9" s="18" t="inlineStr">
        <is>
          <t>Satıcı iade ürünü teslim aldı</t>
        </is>
      </c>
      <c r="D9" s="18" t="inlineStr">
        <is>
          <t>—</t>
        </is>
      </c>
      <c r="E9" s="18" t="inlineStr">
        <is>
          <t>1. Satıcı tarafında 'Teslim Aldım' işaretle</t>
        </is>
      </c>
      <c r="F9" s="18" t="inlineStr">
        <is>
          <t>Durum 'received'; refund cron'u tetiklenir.</t>
        </is>
      </c>
      <c r="G9" s="18" t="inlineStr"/>
      <c r="H9" s="16" t="inlineStr">
        <is>
          <t>Beklemede</t>
        </is>
      </c>
      <c r="I9" s="26" t="inlineStr"/>
      <c r="J9" s="26" t="inlineStr"/>
      <c r="K9" s="26" t="inlineStr"/>
      <c r="L9" s="16" t="inlineStr">
        <is>
          <t>Orta</t>
        </is>
      </c>
      <c r="M9" s="18" t="inlineStr"/>
    </row>
    <row r="10" ht="40" customHeight="1">
      <c r="A10" s="14" t="inlineStr">
        <is>
          <t>W12-007</t>
        </is>
      </c>
      <c r="B10" s="25" t="inlineStr">
        <is>
          <t>W12</t>
        </is>
      </c>
      <c r="C10" s="6" t="inlineStr">
        <is>
          <t>Refund tamamlandı (PayTR)</t>
        </is>
      </c>
      <c r="D10" s="6" t="inlineStr">
        <is>
          <t>Refund işlendi.</t>
        </is>
      </c>
      <c r="E10" s="6" t="inlineStr">
        <is>
          <t>1. Mail kontrol</t>
        </is>
      </c>
      <c r="F10" s="6" t="inlineStr">
        <is>
          <t>“Para iadeniz yapıldı” maili; durum 'refunded'; tutar PayTR refund'la geri.</t>
        </is>
      </c>
      <c r="G10" s="6" t="inlineStr"/>
      <c r="H10" s="14" t="inlineStr">
        <is>
          <t>Beklemede</t>
        </is>
      </c>
      <c r="I10" s="25" t="inlineStr"/>
      <c r="J10" s="25" t="inlineStr"/>
      <c r="K10" s="25" t="inlineStr"/>
      <c r="L10" s="14" t="inlineStr">
        <is>
          <t>Orta</t>
        </is>
      </c>
      <c r="M10" s="6" t="inlineStr"/>
    </row>
    <row r="11" ht="40" customHeight="1">
      <c r="A11" s="16" t="inlineStr">
        <is>
          <t>W12-008</t>
        </is>
      </c>
      <c r="B11" s="26" t="inlineStr">
        <is>
          <t>W12</t>
        </is>
      </c>
      <c r="C11" s="18" t="inlineStr">
        <is>
          <t>İade talebi reddetildi</t>
        </is>
      </c>
      <c r="D11" s="18" t="inlineStr">
        <is>
          <t>Satıcı reddetti.</t>
        </is>
      </c>
      <c r="E11" s="18" t="inlineStr">
        <is>
          <t>1. Detayı aç</t>
        </is>
      </c>
      <c r="F11" s="18" t="inlineStr">
        <is>
          <t>Sebep gösterilir; itiraz/destek yönlendirmesi.</t>
        </is>
      </c>
      <c r="G11" s="18" t="inlineStr"/>
      <c r="H11" s="16" t="inlineStr">
        <is>
          <t>Beklemede</t>
        </is>
      </c>
      <c r="I11" s="26" t="inlineStr"/>
      <c r="J11" s="26" t="inlineStr"/>
      <c r="K11" s="26" t="inlineStr"/>
      <c r="L11" s="16" t="inlineStr">
        <is>
          <t>Orta</t>
        </is>
      </c>
      <c r="M11" s="18" t="inlineStr"/>
    </row>
    <row r="12" ht="40" customHeight="1">
      <c r="A12" s="14" t="inlineStr">
        <is>
          <t>W12-009</t>
        </is>
      </c>
      <c r="B12" s="25" t="inlineStr">
        <is>
          <t>W12</t>
        </is>
      </c>
      <c r="C12" s="6" t="inlineStr">
        <is>
          <t>İade süresi dolmuş</t>
        </is>
      </c>
      <c r="D12" s="6" t="inlineStr">
        <is>
          <t>Teslimat üzerinden 14+ gün.</t>
        </is>
      </c>
      <c r="E12" s="6" t="inlineStr">
        <is>
          <t>1. İade Talebi açmaya çalış</t>
        </is>
      </c>
      <c r="F12" s="6" t="inlineStr">
        <is>
          <t>Buton disabled; süre dolmuş bilgisi.</t>
        </is>
      </c>
      <c r="G12" s="6" t="inlineStr"/>
      <c r="H12" s="14" t="inlineStr">
        <is>
          <t>Beklemede</t>
        </is>
      </c>
      <c r="I12" s="25" t="inlineStr"/>
      <c r="J12" s="25" t="inlineStr"/>
      <c r="K12" s="25" t="inlineStr"/>
      <c r="L12" s="14" t="inlineStr">
        <is>
          <t>Orta</t>
        </is>
      </c>
      <c r="M12" s="6" t="inlineStr"/>
    </row>
    <row r="13" ht="40" customHeight="1">
      <c r="A13" s="16" t="inlineStr">
        <is>
          <t>W12-010</t>
        </is>
      </c>
      <c r="B13" s="26" t="inlineStr">
        <is>
          <t>W12</t>
        </is>
      </c>
      <c r="C13" s="18" t="inlineStr">
        <is>
          <t>Trade (takas) iadesi nakit refund</t>
        </is>
      </c>
      <c r="D13" s="18" t="inlineStr">
        <is>
          <t>Cash diff'li takasta iade kabul.</t>
        </is>
      </c>
      <c r="E13" s="18" t="inlineStr">
        <is>
          <t>1. Takas iadesini başlat</t>
        </is>
      </c>
      <c r="F13" s="18" t="inlineStr">
        <is>
          <t>Sadece nakit fark refund edilir; takas durumu güncellenir.</t>
        </is>
      </c>
      <c r="G13" s="18" t="inlineStr"/>
      <c r="H13" s="16" t="inlineStr">
        <is>
          <t>Beklemede</t>
        </is>
      </c>
      <c r="I13" s="26" t="inlineStr"/>
      <c r="J13" s="26" t="inlineStr"/>
      <c r="K13" s="26" t="inlineStr"/>
      <c r="L13" s="16" t="inlineStr">
        <is>
          <t>Yüksek</t>
        </is>
      </c>
      <c r="M13" s="18" t="inlineStr"/>
    </row>
    <row r="16">
      <c r="A16" s="27" t="inlineStr">
        <is>
          <t>Bu sayfadaki tüm senaryolar test edilmiş ve sonuçlar yukarıda işaretlenmiştir.</t>
        </is>
      </c>
    </row>
    <row r="17">
      <c r="A17" s="28" t="inlineStr">
        <is>
          <t>Test Eden (Tarodan)</t>
        </is>
      </c>
      <c r="D17" s="28" t="inlineStr">
        <is>
          <t>Tarih</t>
        </is>
      </c>
      <c r="G17" s="28" t="inlineStr">
        <is>
          <t>Onaylayan (Müşteri)</t>
        </is>
      </c>
      <c r="J17" s="28" t="inlineStr">
        <is>
          <t>Tarih</t>
        </is>
      </c>
    </row>
    <row r="18">
      <c r="A18" s="7" t="n"/>
      <c r="D18" s="7" t="n"/>
      <c r="G18" s="7" t="n"/>
      <c r="J18" s="7" t="n"/>
    </row>
  </sheetData>
  <mergeCells count="7">
    <mergeCell ref="D18:E18"/>
    <mergeCell ref="A1:M1"/>
    <mergeCell ref="J18:K18"/>
    <mergeCell ref="A2:M2"/>
    <mergeCell ref="A18:B18"/>
    <mergeCell ref="G18:H18"/>
    <mergeCell ref="A16:M16"/>
  </mergeCells>
  <conditionalFormatting sqref="H4:H13">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3" showDropDown="0" showInputMessage="0" showErrorMessage="0" allowBlank="1" errorTitle="Geçersiz değer" error="Lütfen listedeki seçeneklerden birini seçin." type="list">
      <formula1>"Beklemede,Geçti,Kaldı,Bloke,Yapılamadı,N/A"</formula1>
    </dataValidation>
    <dataValidation sqref="L4:L13" showDropDown="0" showInputMessage="0" showErrorMessage="0" allowBlank="1" type="list">
      <formula1>"Kritik,Yüksek,Orta,Düşük"</formula1>
    </dataValidation>
    <dataValidation sqref="K4:K13"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W13 — Profil, Adres, Şifre, Ödeme Yöntemleri</t>
        </is>
      </c>
    </row>
    <row r="2" ht="28" customHeight="1">
      <c r="A2" s="24" t="inlineStr">
        <is>
          <t>Kullanıcı kendi hesabını yönetir.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W13-001</t>
        </is>
      </c>
      <c r="B4" s="25" t="inlineStr">
        <is>
          <t>W13</t>
        </is>
      </c>
      <c r="C4" s="6" t="inlineStr">
        <is>
          <t>Profil sayfası açılışı</t>
        </is>
      </c>
      <c r="D4" s="6" t="inlineStr">
        <is>
          <t>Üye giriş.</t>
        </is>
      </c>
      <c r="E4" s="6" t="inlineStr">
        <is>
          <t>1. /profile aç</t>
        </is>
      </c>
      <c r="F4" s="6" t="inlineStr">
        <is>
          <t>Avatar, ad, e-posta, telefon, üyelik, istatistikler görünür.</t>
        </is>
      </c>
      <c r="G4" s="6" t="inlineStr"/>
      <c r="H4" s="14" t="inlineStr">
        <is>
          <t>Beklemede</t>
        </is>
      </c>
      <c r="I4" s="25" t="inlineStr"/>
      <c r="J4" s="25" t="inlineStr"/>
      <c r="K4" s="25" t="inlineStr"/>
      <c r="L4" s="14" t="inlineStr">
        <is>
          <t>Orta</t>
        </is>
      </c>
      <c r="M4" s="6" t="inlineStr"/>
    </row>
    <row r="5" ht="40" customHeight="1">
      <c r="A5" s="16" t="inlineStr">
        <is>
          <t>W13-002</t>
        </is>
      </c>
      <c r="B5" s="26" t="inlineStr">
        <is>
          <t>W13</t>
        </is>
      </c>
      <c r="C5" s="18" t="inlineStr">
        <is>
          <t>Avatar yükleme</t>
        </is>
      </c>
      <c r="D5" s="18" t="inlineStr">
        <is>
          <t>—</t>
        </is>
      </c>
      <c r="E5" s="18" t="inlineStr">
        <is>
          <t>1. Avatar resmini değiştir, kaydet</t>
        </is>
      </c>
      <c r="F5" s="18" t="inlineStr">
        <is>
          <t>Resim yüklenir, profil ve yorumlarda görünür.</t>
        </is>
      </c>
      <c r="G5" s="18" t="inlineStr"/>
      <c r="H5" s="16" t="inlineStr">
        <is>
          <t>Beklemede</t>
        </is>
      </c>
      <c r="I5" s="26" t="inlineStr"/>
      <c r="J5" s="26" t="inlineStr"/>
      <c r="K5" s="26" t="inlineStr"/>
      <c r="L5" s="16" t="inlineStr">
        <is>
          <t>Orta</t>
        </is>
      </c>
      <c r="M5" s="18" t="inlineStr"/>
    </row>
    <row r="6" ht="40" customHeight="1">
      <c r="A6" s="14" t="inlineStr">
        <is>
          <t>W13-003</t>
        </is>
      </c>
      <c r="B6" s="25" t="inlineStr">
        <is>
          <t>W13</t>
        </is>
      </c>
      <c r="C6" s="6" t="inlineStr">
        <is>
          <t>Ad/Soyad/Bio güncelleme</t>
        </is>
      </c>
      <c r="D6" s="6" t="inlineStr">
        <is>
          <t>—</t>
        </is>
      </c>
      <c r="E6" s="6" t="inlineStr">
        <is>
          <t>1. Edit profil → bilgileri değiştir, kaydet</t>
        </is>
      </c>
      <c r="F6" s="6" t="inlineStr">
        <is>
          <t>Değişiklikler kalıcı; refresh sonrası korunur.</t>
        </is>
      </c>
      <c r="G6" s="6" t="inlineStr"/>
      <c r="H6" s="14" t="inlineStr">
        <is>
          <t>Beklemede</t>
        </is>
      </c>
      <c r="I6" s="25" t="inlineStr"/>
      <c r="J6" s="25" t="inlineStr"/>
      <c r="K6" s="25" t="inlineStr"/>
      <c r="L6" s="14" t="inlineStr">
        <is>
          <t>Orta</t>
        </is>
      </c>
      <c r="M6" s="6" t="inlineStr"/>
    </row>
    <row r="7" ht="40" customHeight="1">
      <c r="A7" s="16" t="inlineStr">
        <is>
          <t>W13-004</t>
        </is>
      </c>
      <c r="B7" s="26" t="inlineStr">
        <is>
          <t>W13</t>
        </is>
      </c>
      <c r="C7" s="18" t="inlineStr">
        <is>
          <t>Adres ekleme/düzenleme/silme</t>
        </is>
      </c>
      <c r="D7" s="18" t="inlineStr">
        <is>
          <t>—</t>
        </is>
      </c>
      <c r="E7" s="18" t="inlineStr">
        <is>
          <t>1. /profile/addresses aç
2. Yeni adres ekle, düzenle, sil</t>
        </is>
      </c>
      <c r="F7" s="18" t="inlineStr">
        <is>
          <t>Tüm CRUD çalışır; varsayılan adres seçilebilir.</t>
        </is>
      </c>
      <c r="G7" s="18" t="inlineStr"/>
      <c r="H7" s="16" t="inlineStr">
        <is>
          <t>Beklemede</t>
        </is>
      </c>
      <c r="I7" s="26" t="inlineStr"/>
      <c r="J7" s="26" t="inlineStr"/>
      <c r="K7" s="26" t="inlineStr"/>
      <c r="L7" s="16" t="inlineStr">
        <is>
          <t>Orta</t>
        </is>
      </c>
      <c r="M7" s="18" t="inlineStr"/>
    </row>
    <row r="8" ht="40" customHeight="1">
      <c r="A8" s="14" t="inlineStr">
        <is>
          <t>W13-005</t>
        </is>
      </c>
      <c r="B8" s="25" t="inlineStr">
        <is>
          <t>W13</t>
        </is>
      </c>
      <c r="C8" s="6" t="inlineStr">
        <is>
          <t>Şifre değiştir</t>
        </is>
      </c>
      <c r="D8" s="6" t="inlineStr">
        <is>
          <t>—</t>
        </is>
      </c>
      <c r="E8" s="6" t="inlineStr">
        <is>
          <t>1. /profile/change-password
2. Eski şifre + yeni şifre x2 gir, kaydet</t>
        </is>
      </c>
      <c r="F8" s="6" t="inlineStr">
        <is>
          <t>Başarılı; yeni şifre ile login çalışır; tüm oturumlar opsiyonel sonlanır.</t>
        </is>
      </c>
      <c r="G8" s="6" t="inlineStr"/>
      <c r="H8" s="14" t="inlineStr">
        <is>
          <t>Beklemede</t>
        </is>
      </c>
      <c r="I8" s="25" t="inlineStr"/>
      <c r="J8" s="25" t="inlineStr"/>
      <c r="K8" s="25" t="inlineStr"/>
      <c r="L8" s="14" t="inlineStr">
        <is>
          <t>Yüksek</t>
        </is>
      </c>
      <c r="M8" s="6" t="inlineStr"/>
    </row>
    <row r="9" ht="40" customHeight="1">
      <c r="A9" s="16" t="inlineStr">
        <is>
          <t>W13-006</t>
        </is>
      </c>
      <c r="B9" s="26" t="inlineStr">
        <is>
          <t>W13</t>
        </is>
      </c>
      <c r="C9" s="18" t="inlineStr">
        <is>
          <t>Eski şifre yanlış</t>
        </is>
      </c>
      <c r="D9" s="18" t="inlineStr">
        <is>
          <t>—</t>
        </is>
      </c>
      <c r="E9" s="18" t="inlineStr">
        <is>
          <t>1. Eski şifreyi yanlış gir</t>
        </is>
      </c>
      <c r="F9" s="18" t="inlineStr">
        <is>
          <t>Hata; değişiklik kaydedilmez.</t>
        </is>
      </c>
      <c r="G9" s="18" t="inlineStr"/>
      <c r="H9" s="16" t="inlineStr">
        <is>
          <t>Beklemede</t>
        </is>
      </c>
      <c r="I9" s="26" t="inlineStr"/>
      <c r="J9" s="26" t="inlineStr"/>
      <c r="K9" s="26" t="inlineStr"/>
      <c r="L9" s="16" t="inlineStr">
        <is>
          <t>Orta</t>
        </is>
      </c>
      <c r="M9" s="18" t="inlineStr"/>
    </row>
    <row r="10" ht="40" customHeight="1">
      <c r="A10" s="14" t="inlineStr">
        <is>
          <t>W13-007</t>
        </is>
      </c>
      <c r="B10" s="25" t="inlineStr">
        <is>
          <t>W13</t>
        </is>
      </c>
      <c r="C10" s="6" t="inlineStr">
        <is>
          <t>Ödeme yöntemleri yönetimi</t>
        </is>
      </c>
      <c r="D10" s="6" t="inlineStr">
        <is>
          <t>—</t>
        </is>
      </c>
      <c r="E10" s="6" t="inlineStr">
        <is>
          <t>1. /profile/payments aç
2. Kayıtlı kartları gör, yenisini ekle, sil</t>
        </is>
      </c>
      <c r="F10" s="6" t="inlineStr">
        <is>
          <t>Tokenize edilmiş kart bilgileri görünür; CVV asla saklanmaz.</t>
        </is>
      </c>
      <c r="G10" s="6" t="inlineStr"/>
      <c r="H10" s="14" t="inlineStr">
        <is>
          <t>Beklemede</t>
        </is>
      </c>
      <c r="I10" s="25" t="inlineStr"/>
      <c r="J10" s="25" t="inlineStr"/>
      <c r="K10" s="25" t="inlineStr"/>
      <c r="L10" s="14" t="inlineStr">
        <is>
          <t>Orta</t>
        </is>
      </c>
      <c r="M10" s="6" t="inlineStr"/>
    </row>
    <row r="11" ht="40" customHeight="1">
      <c r="A11" s="16" t="inlineStr">
        <is>
          <t>W13-008</t>
        </is>
      </c>
      <c r="B11" s="26" t="inlineStr">
        <is>
          <t>W13</t>
        </is>
      </c>
      <c r="C11" s="18" t="inlineStr">
        <is>
          <t>İndirim kuponları listesi</t>
        </is>
      </c>
      <c r="D11" s="18" t="inlineStr">
        <is>
          <t>—</t>
        </is>
      </c>
      <c r="E11" s="18" t="inlineStr">
        <is>
          <t>1. /profile/discounts aç</t>
        </is>
      </c>
      <c r="F11" s="18" t="inlineStr">
        <is>
          <t>Aktif/kullanılmış kuponlar; kopyala butonu çalışır.</t>
        </is>
      </c>
      <c r="G11" s="18" t="inlineStr"/>
      <c r="H11" s="16" t="inlineStr">
        <is>
          <t>Beklemede</t>
        </is>
      </c>
      <c r="I11" s="26" t="inlineStr"/>
      <c r="J11" s="26" t="inlineStr"/>
      <c r="K11" s="26" t="inlineStr"/>
      <c r="L11" s="16" t="inlineStr">
        <is>
          <t>Orta</t>
        </is>
      </c>
      <c r="M11" s="18" t="inlineStr"/>
    </row>
    <row r="12" ht="40" customHeight="1">
      <c r="A12" s="14" t="inlineStr">
        <is>
          <t>W13-009</t>
        </is>
      </c>
      <c r="B12" s="25" t="inlineStr">
        <is>
          <t>W13</t>
        </is>
      </c>
      <c r="C12" s="6" t="inlineStr">
        <is>
          <t>İstatistikler</t>
        </is>
      </c>
      <c r="D12" s="6" t="inlineStr">
        <is>
          <t>—</t>
        </is>
      </c>
      <c r="E12" s="6" t="inlineStr">
        <is>
          <t>1. /profile/statistics aç</t>
        </is>
      </c>
      <c r="F12" s="6" t="inlineStr">
        <is>
          <t>Satış, görüntülenme, beğeni metrikleri görünür.</t>
        </is>
      </c>
      <c r="G12" s="6" t="inlineStr"/>
      <c r="H12" s="14" t="inlineStr">
        <is>
          <t>Beklemede</t>
        </is>
      </c>
      <c r="I12" s="25" t="inlineStr"/>
      <c r="J12" s="25" t="inlineStr"/>
      <c r="K12" s="25" t="inlineStr"/>
      <c r="L12" s="14" t="inlineStr">
        <is>
          <t>Orta</t>
        </is>
      </c>
      <c r="M12" s="6" t="inlineStr"/>
    </row>
    <row r="13" ht="40" customHeight="1">
      <c r="A13" s="16" t="inlineStr">
        <is>
          <t>W13-010</t>
        </is>
      </c>
      <c r="B13" s="26" t="inlineStr">
        <is>
          <t>W13</t>
        </is>
      </c>
      <c r="C13" s="18" t="inlineStr">
        <is>
          <t>Kurumsal hesap detayları</t>
        </is>
      </c>
      <c r="D13" s="18" t="inlineStr">
        <is>
          <t>Kurumsal kullanıcı.</t>
        </is>
      </c>
      <c r="E13" s="18" t="inlineStr">
        <is>
          <t>1. /profile/business aç</t>
        </is>
      </c>
      <c r="F13" s="18" t="inlineStr">
        <is>
          <t>Şirket, vergi, fatura bilgileri görüntü/düzenleme.</t>
        </is>
      </c>
      <c r="G13" s="18" t="inlineStr"/>
      <c r="H13" s="16" t="inlineStr">
        <is>
          <t>Beklemede</t>
        </is>
      </c>
      <c r="I13" s="26" t="inlineStr"/>
      <c r="J13" s="26" t="inlineStr"/>
      <c r="K13" s="26" t="inlineStr"/>
      <c r="L13" s="16" t="inlineStr">
        <is>
          <t>Orta</t>
        </is>
      </c>
      <c r="M13" s="18" t="inlineStr"/>
    </row>
    <row r="14" ht="40" customHeight="1">
      <c r="A14" s="14" t="inlineStr">
        <is>
          <t>W13-011</t>
        </is>
      </c>
      <c r="B14" s="25" t="inlineStr">
        <is>
          <t>W13</t>
        </is>
      </c>
      <c r="C14" s="6" t="inlineStr">
        <is>
          <t>İlanlarım sayfası</t>
        </is>
      </c>
      <c r="D14" s="6" t="inlineStr">
        <is>
          <t>Satıcı.</t>
        </is>
      </c>
      <c r="E14" s="6" t="inlineStr">
        <is>
          <t>1. /profile/listings aç</t>
        </is>
      </c>
      <c r="F14" s="6" t="inlineStr">
        <is>
          <t>Aktif/satılan/silinmiş sekmeleri çalışır; düzenleme/silme/devre dışı.</t>
        </is>
      </c>
      <c r="G14" s="6" t="inlineStr"/>
      <c r="H14" s="14" t="inlineStr">
        <is>
          <t>Beklemede</t>
        </is>
      </c>
      <c r="I14" s="25" t="inlineStr"/>
      <c r="J14" s="25" t="inlineStr"/>
      <c r="K14" s="25" t="inlineStr"/>
      <c r="L14" s="14" t="inlineStr">
        <is>
          <t>Orta</t>
        </is>
      </c>
      <c r="M14" s="6" t="inlineStr"/>
    </row>
    <row r="15" ht="40" customHeight="1">
      <c r="A15" s="16" t="inlineStr">
        <is>
          <t>W13-012</t>
        </is>
      </c>
      <c r="B15" s="26" t="inlineStr">
        <is>
          <t>W13</t>
        </is>
      </c>
      <c r="C15" s="18" t="inlineStr">
        <is>
          <t>Hesabı sil / dondur</t>
        </is>
      </c>
      <c r="D15" s="18" t="inlineStr">
        <is>
          <t>—</t>
        </is>
      </c>
      <c r="E15" s="18" t="inlineStr">
        <is>
          <t>1. Ayarlardan 'Hesabımı Sil'e bas</t>
        </is>
      </c>
      <c r="F15" s="18" t="inlineStr">
        <is>
          <t>Onay modali; KVKK gereği veri silme/anonimleştirme süreci başlar.</t>
        </is>
      </c>
      <c r="G15" s="18" t="inlineStr"/>
      <c r="H15" s="16" t="inlineStr">
        <is>
          <t>Beklemede</t>
        </is>
      </c>
      <c r="I15" s="26" t="inlineStr"/>
      <c r="J15" s="26" t="inlineStr"/>
      <c r="K15" s="26" t="inlineStr"/>
      <c r="L15" s="16" t="inlineStr">
        <is>
          <t>Yüksek</t>
        </is>
      </c>
      <c r="M15" s="18" t="inlineStr"/>
    </row>
    <row r="18">
      <c r="A18" s="27" t="inlineStr">
        <is>
          <t>Bu sayfadaki tüm senaryolar test edilmiş ve sonuçlar yukarıda işaretlenmiştir.</t>
        </is>
      </c>
    </row>
    <row r="19">
      <c r="A19" s="28" t="inlineStr">
        <is>
          <t>Test Eden (Tarodan)</t>
        </is>
      </c>
      <c r="D19" s="28" t="inlineStr">
        <is>
          <t>Tarih</t>
        </is>
      </c>
      <c r="G19" s="28" t="inlineStr">
        <is>
          <t>Onaylayan (Müşteri)</t>
        </is>
      </c>
      <c r="J19" s="28" t="inlineStr">
        <is>
          <t>Tarih</t>
        </is>
      </c>
    </row>
    <row r="20">
      <c r="A20" s="7" t="n"/>
      <c r="D20" s="7" t="n"/>
      <c r="G20" s="7" t="n"/>
      <c r="J20" s="7" t="n"/>
    </row>
  </sheetData>
  <mergeCells count="7">
    <mergeCell ref="D20:E20"/>
    <mergeCell ref="A20:B20"/>
    <mergeCell ref="G20:H20"/>
    <mergeCell ref="J20:K20"/>
    <mergeCell ref="A1:M1"/>
    <mergeCell ref="A18:M18"/>
    <mergeCell ref="A2:M2"/>
  </mergeCells>
  <conditionalFormatting sqref="H4:H15">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5" showDropDown="0" showInputMessage="0" showErrorMessage="0" allowBlank="1" errorTitle="Geçersiz değer" error="Lütfen listedeki seçeneklerden birini seçin." type="list">
      <formula1>"Beklemede,Geçti,Kaldı,Bloke,Yapılamadı,N/A"</formula1>
    </dataValidation>
    <dataValidation sqref="L4:L15" showDropDown="0" showInputMessage="0" showErrorMessage="0" allowBlank="1" type="list">
      <formula1>"Kritik,Yüksek,Orta,Düşük"</formula1>
    </dataValidation>
    <dataValidation sqref="K4:K15"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W14 — Satıcı: İlan Oluşturma ve Yönetimi</t>
        </is>
      </c>
    </row>
    <row r="2" ht="28" customHeight="1">
      <c r="A2" s="24" t="inlineStr">
        <is>
          <t>Yeni ilan, görsel yükleme, kategori, fiyat, üyelik limit.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8" customHeight="1">
      <c r="A4" s="14" t="inlineStr">
        <is>
          <t>W14-001</t>
        </is>
      </c>
      <c r="B4" s="25" t="inlineStr">
        <is>
          <t>W14</t>
        </is>
      </c>
      <c r="C4" s="6" t="inlineStr">
        <is>
          <t>Yeni ilan oluşturma (satıcı)</t>
        </is>
      </c>
      <c r="D4" s="6" t="inlineStr">
        <is>
          <t>Onaylı satıcı.</t>
        </is>
      </c>
      <c r="E4" s="6" t="inlineStr">
        <is>
          <t>1. /listings/new aç
2. Kategori, marka, başlık, açıklama, fiyat, görsel yükle
3. Yayınla</t>
        </is>
      </c>
      <c r="F4" s="6" t="inlineStr">
        <is>
          <t>İlan moderasyon kuyruğuna düşer; satıcıya bilgi maili.</t>
        </is>
      </c>
      <c r="G4" s="6" t="inlineStr"/>
      <c r="H4" s="14" t="inlineStr">
        <is>
          <t>Beklemede</t>
        </is>
      </c>
      <c r="I4" s="25" t="inlineStr"/>
      <c r="J4" s="25" t="inlineStr"/>
      <c r="K4" s="25" t="inlineStr"/>
      <c r="L4" s="14" t="inlineStr">
        <is>
          <t>Kritik</t>
        </is>
      </c>
      <c r="M4" s="6" t="inlineStr"/>
    </row>
    <row r="5" ht="40" customHeight="1">
      <c r="A5" s="16" t="inlineStr">
        <is>
          <t>W14-002</t>
        </is>
      </c>
      <c r="B5" s="26" t="inlineStr">
        <is>
          <t>W14</t>
        </is>
      </c>
      <c r="C5" s="18" t="inlineStr">
        <is>
          <t>Görsel boyut/format kontrolü</t>
        </is>
      </c>
      <c r="D5" s="18" t="inlineStr">
        <is>
          <t>—</t>
        </is>
      </c>
      <c r="E5" s="18" t="inlineStr">
        <is>
          <t>1. 10MB üstü veya .exe yüklemeye çalış</t>
        </is>
      </c>
      <c r="F5" s="18" t="inlineStr">
        <is>
          <t>Reddedilir; hata mesajı gösterilir.</t>
        </is>
      </c>
      <c r="G5" s="18" t="inlineStr"/>
      <c r="H5" s="16" t="inlineStr">
        <is>
          <t>Beklemede</t>
        </is>
      </c>
      <c r="I5" s="26" t="inlineStr"/>
      <c r="J5" s="26" t="inlineStr"/>
      <c r="K5" s="26" t="inlineStr"/>
      <c r="L5" s="16" t="inlineStr">
        <is>
          <t>Orta</t>
        </is>
      </c>
      <c r="M5" s="18" t="inlineStr"/>
    </row>
    <row r="6" ht="40" customHeight="1">
      <c r="A6" s="14" t="inlineStr">
        <is>
          <t>W14-003</t>
        </is>
      </c>
      <c r="B6" s="25" t="inlineStr">
        <is>
          <t>W14</t>
        </is>
      </c>
      <c r="C6" s="6" t="inlineStr">
        <is>
          <t>Sürükle-bırak görsel sıralama</t>
        </is>
      </c>
      <c r="D6" s="6" t="inlineStr">
        <is>
          <t>Çoklu görsel.</t>
        </is>
      </c>
      <c r="E6" s="6" t="inlineStr">
        <is>
          <t>1. Görselleri yeniden sırala</t>
        </is>
      </c>
      <c r="F6" s="6" t="inlineStr">
        <is>
          <t>Sıralama kaydedilir; ilk görsel kapak olur.</t>
        </is>
      </c>
      <c r="G6" s="6" t="inlineStr"/>
      <c r="H6" s="14" t="inlineStr">
        <is>
          <t>Beklemede</t>
        </is>
      </c>
      <c r="I6" s="25" t="inlineStr"/>
      <c r="J6" s="25" t="inlineStr"/>
      <c r="K6" s="25" t="inlineStr"/>
      <c r="L6" s="14" t="inlineStr">
        <is>
          <t>Orta</t>
        </is>
      </c>
      <c r="M6" s="6" t="inlineStr"/>
    </row>
    <row r="7" ht="40" customHeight="1">
      <c r="A7" s="16" t="inlineStr">
        <is>
          <t>W14-004</t>
        </is>
      </c>
      <c r="B7" s="26" t="inlineStr">
        <is>
          <t>W14</t>
        </is>
      </c>
      <c r="C7" s="18" t="inlineStr">
        <is>
          <t>Üyelik ilan limiti aşımı</t>
        </is>
      </c>
      <c r="D7" s="18" t="inlineStr">
        <is>
          <t>Free tier, limit dolmuş.</t>
        </is>
      </c>
      <c r="E7" s="18" t="inlineStr">
        <is>
          <t>1. Yeni ilan denemesi</t>
        </is>
      </c>
      <c r="F7" s="18" t="inlineStr">
        <is>
          <t>“Limitiniz doldu, yükseltin” uyarısı + Premium CTA.</t>
        </is>
      </c>
      <c r="G7" s="18" t="inlineStr"/>
      <c r="H7" s="16" t="inlineStr">
        <is>
          <t>Beklemede</t>
        </is>
      </c>
      <c r="I7" s="26" t="inlineStr"/>
      <c r="J7" s="26" t="inlineStr"/>
      <c r="K7" s="26" t="inlineStr"/>
      <c r="L7" s="16" t="inlineStr">
        <is>
          <t>Orta</t>
        </is>
      </c>
      <c r="M7" s="18" t="inlineStr"/>
    </row>
    <row r="8" ht="40" customHeight="1">
      <c r="A8" s="14" t="inlineStr">
        <is>
          <t>W14-005</t>
        </is>
      </c>
      <c r="B8" s="25" t="inlineStr">
        <is>
          <t>W14</t>
        </is>
      </c>
      <c r="C8" s="6" t="inlineStr">
        <is>
          <t>Taslak olarak kaydet</t>
        </is>
      </c>
      <c r="D8" s="6" t="inlineStr">
        <is>
          <t>—</t>
        </is>
      </c>
      <c r="E8" s="6" t="inlineStr">
        <is>
          <t>1. Form yarıda 'Taslak Kaydet'</t>
        </is>
      </c>
      <c r="F8" s="6" t="inlineStr">
        <is>
          <t>İlan taslak olarak listelenir; sonradan düzenlenebilir.</t>
        </is>
      </c>
      <c r="G8" s="6" t="inlineStr"/>
      <c r="H8" s="14" t="inlineStr">
        <is>
          <t>Beklemede</t>
        </is>
      </c>
      <c r="I8" s="25" t="inlineStr"/>
      <c r="J8" s="25" t="inlineStr"/>
      <c r="K8" s="25" t="inlineStr"/>
      <c r="L8" s="14" t="inlineStr">
        <is>
          <t>Orta</t>
        </is>
      </c>
      <c r="M8" s="6" t="inlineStr"/>
    </row>
    <row r="9" ht="40" customHeight="1">
      <c r="A9" s="16" t="inlineStr">
        <is>
          <t>W14-006</t>
        </is>
      </c>
      <c r="B9" s="26" t="inlineStr">
        <is>
          <t>W14</t>
        </is>
      </c>
      <c r="C9" s="18" t="inlineStr">
        <is>
          <t>İlan düzenleme</t>
        </is>
      </c>
      <c r="D9" s="18" t="inlineStr">
        <is>
          <t>Aktif ilan.</t>
        </is>
      </c>
      <c r="E9" s="18" t="inlineStr">
        <is>
          <t>1. İlanı düzenle, fiyat değiştir, kaydet</t>
        </is>
      </c>
      <c r="F9" s="18" t="inlineStr">
        <is>
          <t>Değişiklikler anında yansır; sepetteki kullanıcılar uyarılır.</t>
        </is>
      </c>
      <c r="G9" s="18" t="inlineStr"/>
      <c r="H9" s="16" t="inlineStr">
        <is>
          <t>Beklemede</t>
        </is>
      </c>
      <c r="I9" s="26" t="inlineStr"/>
      <c r="J9" s="26" t="inlineStr"/>
      <c r="K9" s="26" t="inlineStr"/>
      <c r="L9" s="16" t="inlineStr">
        <is>
          <t>Orta</t>
        </is>
      </c>
      <c r="M9" s="18" t="inlineStr"/>
    </row>
    <row r="10" ht="40" customHeight="1">
      <c r="A10" s="14" t="inlineStr">
        <is>
          <t>W14-007</t>
        </is>
      </c>
      <c r="B10" s="25" t="inlineStr">
        <is>
          <t>W14</t>
        </is>
      </c>
      <c r="C10" s="6" t="inlineStr">
        <is>
          <t>İlanı devre dışı bırakma</t>
        </is>
      </c>
      <c r="D10" s="6" t="inlineStr">
        <is>
          <t>—</t>
        </is>
      </c>
      <c r="E10" s="6" t="inlineStr">
        <is>
          <t>1. 'Pasif Yap'a bas</t>
        </is>
      </c>
      <c r="F10" s="6" t="inlineStr">
        <is>
          <t>İlan listelerde görünmez; satıcı paneline pasif olarak gelir.</t>
        </is>
      </c>
      <c r="G10" s="6" t="inlineStr"/>
      <c r="H10" s="14" t="inlineStr">
        <is>
          <t>Beklemede</t>
        </is>
      </c>
      <c r="I10" s="25" t="inlineStr"/>
      <c r="J10" s="25" t="inlineStr"/>
      <c r="K10" s="25" t="inlineStr"/>
      <c r="L10" s="14" t="inlineStr">
        <is>
          <t>Orta</t>
        </is>
      </c>
      <c r="M10" s="6" t="inlineStr"/>
    </row>
    <row r="11" ht="40" customHeight="1">
      <c r="A11" s="16" t="inlineStr">
        <is>
          <t>W14-008</t>
        </is>
      </c>
      <c r="B11" s="26" t="inlineStr">
        <is>
          <t>W14</t>
        </is>
      </c>
      <c r="C11" s="18" t="inlineStr">
        <is>
          <t>İlanı silme</t>
        </is>
      </c>
      <c r="D11" s="18" t="inlineStr">
        <is>
          <t>—</t>
        </is>
      </c>
      <c r="E11" s="18" t="inlineStr">
        <is>
          <t>1. 'Sil'e bas, onayla</t>
        </is>
      </c>
      <c r="F11" s="18" t="inlineStr">
        <is>
          <t>İlan kalıcı silinir veya soft-delete; sipariş geçmişi kalır.</t>
        </is>
      </c>
      <c r="G11" s="18" t="inlineStr"/>
      <c r="H11" s="16" t="inlineStr">
        <is>
          <t>Beklemede</t>
        </is>
      </c>
      <c r="I11" s="26" t="inlineStr"/>
      <c r="J11" s="26" t="inlineStr"/>
      <c r="K11" s="26" t="inlineStr"/>
      <c r="L11" s="16" t="inlineStr">
        <is>
          <t>Orta</t>
        </is>
      </c>
      <c r="M11" s="18" t="inlineStr"/>
    </row>
    <row r="12" ht="40" customHeight="1">
      <c r="A12" s="14" t="inlineStr">
        <is>
          <t>W14-009</t>
        </is>
      </c>
      <c r="B12" s="25" t="inlineStr">
        <is>
          <t>W14</t>
        </is>
      </c>
      <c r="C12" s="6" t="inlineStr">
        <is>
          <t>Reddedilen ilan akışı</t>
        </is>
      </c>
      <c r="D12" s="6" t="inlineStr">
        <is>
          <t>Admin reddetti.</t>
        </is>
      </c>
      <c r="E12" s="6" t="inlineStr">
        <is>
          <t>1. Mail oku, ilanı düzelt, tekrar yayınla</t>
        </is>
      </c>
      <c r="F12" s="6" t="inlineStr">
        <is>
          <t>Ret sebebi maile düşer; düzeltip tekrar moderasyona gönderilir.</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W15 — Satıcı: Sipariş İşleme ve Kargolama</t>
        </is>
      </c>
    </row>
    <row r="2" ht="28" customHeight="1">
      <c r="A2" s="24" t="inlineStr">
        <is>
          <t>Satıcının sipariş alıp kargolaması, payout takibi.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W15-001</t>
        </is>
      </c>
      <c r="B4" s="25" t="inlineStr">
        <is>
          <t>W15</t>
        </is>
      </c>
      <c r="C4" s="6" t="inlineStr">
        <is>
          <t>Satıcı dashboard</t>
        </is>
      </c>
      <c r="D4" s="6" t="inlineStr">
        <is>
          <t>Satıcı, sipariş var.</t>
        </is>
      </c>
      <c r="E4" s="6" t="inlineStr">
        <is>
          <t>1. /seller/dashboard aç</t>
        </is>
      </c>
      <c r="F4" s="6" t="inlineStr">
        <is>
          <t>İstatistikler, bekleyen siparişler, performans görünür.</t>
        </is>
      </c>
      <c r="G4" s="6" t="inlineStr"/>
      <c r="H4" s="14" t="inlineStr">
        <is>
          <t>Beklemede</t>
        </is>
      </c>
      <c r="I4" s="25" t="inlineStr"/>
      <c r="J4" s="25" t="inlineStr"/>
      <c r="K4" s="25" t="inlineStr"/>
      <c r="L4" s="14" t="inlineStr">
        <is>
          <t>Orta</t>
        </is>
      </c>
      <c r="M4" s="6" t="inlineStr"/>
    </row>
    <row r="5" ht="40" customHeight="1">
      <c r="A5" s="16" t="inlineStr">
        <is>
          <t>W15-002</t>
        </is>
      </c>
      <c r="B5" s="26" t="inlineStr">
        <is>
          <t>W15</t>
        </is>
      </c>
      <c r="C5" s="18" t="inlineStr">
        <is>
          <t>Yeni sipariş bildirimi</t>
        </is>
      </c>
      <c r="D5" s="18" t="inlineStr">
        <is>
          <t>Yeni sipariş geldi.</t>
        </is>
      </c>
      <c r="E5" s="18" t="inlineStr">
        <is>
          <t>1. Bildirim maili ve in-app bildirim kontrol</t>
        </is>
      </c>
      <c r="F5" s="18" t="inlineStr">
        <is>
          <t>Mail + in-app + push tetiklenir; dashboard'da 'bekliyor' sayacı artar.</t>
        </is>
      </c>
      <c r="G5" s="18" t="inlineStr"/>
      <c r="H5" s="16" t="inlineStr">
        <is>
          <t>Beklemede</t>
        </is>
      </c>
      <c r="I5" s="26" t="inlineStr"/>
      <c r="J5" s="26" t="inlineStr"/>
      <c r="K5" s="26" t="inlineStr"/>
      <c r="L5" s="16" t="inlineStr">
        <is>
          <t>Kritik</t>
        </is>
      </c>
      <c r="M5" s="18" t="inlineStr"/>
    </row>
    <row r="6" ht="40" customHeight="1">
      <c r="A6" s="14" t="inlineStr">
        <is>
          <t>W15-003</t>
        </is>
      </c>
      <c r="B6" s="25" t="inlineStr">
        <is>
          <t>W15</t>
        </is>
      </c>
      <c r="C6" s="6" t="inlineStr">
        <is>
          <t>Sipariş detayı (satıcı)</t>
        </is>
      </c>
      <c r="D6" s="6" t="inlineStr">
        <is>
          <t>—</t>
        </is>
      </c>
      <c r="E6" s="6" t="inlineStr">
        <is>
          <t>1. /seller/orders/[id] aç</t>
        </is>
      </c>
      <c r="F6" s="6" t="inlineStr">
        <is>
          <t>Kargo girişi, alıcı bilgisi, ödeme özeti, kargo deadline görünür.</t>
        </is>
      </c>
      <c r="G6" s="6" t="inlineStr"/>
      <c r="H6" s="14" t="inlineStr">
        <is>
          <t>Beklemede</t>
        </is>
      </c>
      <c r="I6" s="25" t="inlineStr"/>
      <c r="J6" s="25" t="inlineStr"/>
      <c r="K6" s="25" t="inlineStr"/>
      <c r="L6" s="14" t="inlineStr">
        <is>
          <t>Orta</t>
        </is>
      </c>
      <c r="M6" s="6" t="inlineStr"/>
    </row>
    <row r="7" ht="40" customHeight="1">
      <c r="A7" s="16" t="inlineStr">
        <is>
          <t>W15-004</t>
        </is>
      </c>
      <c r="B7" s="26" t="inlineStr">
        <is>
          <t>W15</t>
        </is>
      </c>
      <c r="C7" s="18" t="inlineStr">
        <is>
          <t>Kargo bilgisi girme</t>
        </is>
      </c>
      <c r="D7" s="18" t="inlineStr">
        <is>
          <t>—</t>
        </is>
      </c>
      <c r="E7" s="18" t="inlineStr">
        <is>
          <t>1. Kargo şirketi seç, takip no gir, kaydet</t>
        </is>
      </c>
      <c r="F7" s="18" t="inlineStr">
        <is>
          <t>Sipariş 'shipped' olur; alıcıya tracking maili gider.</t>
        </is>
      </c>
      <c r="G7" s="18" t="inlineStr"/>
      <c r="H7" s="16" t="inlineStr">
        <is>
          <t>Beklemede</t>
        </is>
      </c>
      <c r="I7" s="26" t="inlineStr"/>
      <c r="J7" s="26" t="inlineStr"/>
      <c r="K7" s="26" t="inlineStr"/>
      <c r="L7" s="16" t="inlineStr">
        <is>
          <t>Kritik</t>
        </is>
      </c>
      <c r="M7" s="18" t="inlineStr"/>
    </row>
    <row r="8" ht="40" customHeight="1">
      <c r="A8" s="14" t="inlineStr">
        <is>
          <t>W15-005</t>
        </is>
      </c>
      <c r="B8" s="25" t="inlineStr">
        <is>
          <t>W15</t>
        </is>
      </c>
      <c r="C8" s="6" t="inlineStr">
        <is>
          <t>Kargo deadline geçme uyarısı</t>
        </is>
      </c>
      <c r="D8" s="6" t="inlineStr">
        <is>
          <t>Sipariş üzerinden 3 iş günü geçti.</t>
        </is>
      </c>
      <c r="E8" s="6" t="inlineStr">
        <is>
          <t>1. Dashboard kontrol</t>
        </is>
      </c>
      <c r="F8" s="6" t="inlineStr">
        <is>
          <t>Uyarı maili; satıcı performans skoru etkilenir.</t>
        </is>
      </c>
      <c r="G8" s="6" t="inlineStr"/>
      <c r="H8" s="14" t="inlineStr">
        <is>
          <t>Beklemede</t>
        </is>
      </c>
      <c r="I8" s="25" t="inlineStr"/>
      <c r="J8" s="25" t="inlineStr"/>
      <c r="K8" s="25" t="inlineStr"/>
      <c r="L8" s="14" t="inlineStr">
        <is>
          <t>Orta</t>
        </is>
      </c>
      <c r="M8" s="6" t="inlineStr"/>
    </row>
    <row r="9" ht="40" customHeight="1">
      <c r="A9" s="16" t="inlineStr">
        <is>
          <t>W15-006</t>
        </is>
      </c>
      <c r="B9" s="26" t="inlineStr">
        <is>
          <t>W15</t>
        </is>
      </c>
      <c r="C9" s="18" t="inlineStr">
        <is>
          <t>Kargo deadline geçti — otomatik iptal</t>
        </is>
      </c>
      <c r="D9" s="18" t="inlineStr">
        <is>
          <t>Çok geç kalındı.</t>
        </is>
      </c>
      <c r="E9" s="18" t="inlineStr">
        <is>
          <t>1. Cron tetiklenmesini bekle</t>
        </is>
      </c>
      <c r="F9" s="18" t="inlineStr">
        <is>
          <t>Sipariş otomatik iptal; alıcıya iade; satıcıya bildirim.</t>
        </is>
      </c>
      <c r="G9" s="18" t="inlineStr"/>
      <c r="H9" s="16" t="inlineStr">
        <is>
          <t>Beklemede</t>
        </is>
      </c>
      <c r="I9" s="26" t="inlineStr"/>
      <c r="J9" s="26" t="inlineStr"/>
      <c r="K9" s="26" t="inlineStr"/>
      <c r="L9" s="16" t="inlineStr">
        <is>
          <t>Orta</t>
        </is>
      </c>
      <c r="M9" s="18" t="inlineStr"/>
    </row>
    <row r="10" ht="40" customHeight="1">
      <c r="A10" s="14" t="inlineStr">
        <is>
          <t>W15-007</t>
        </is>
      </c>
      <c r="B10" s="25" t="inlineStr">
        <is>
          <t>W15</t>
        </is>
      </c>
      <c r="C10" s="6" t="inlineStr">
        <is>
          <t>Banka hesabı eklenmemiş — payout uyarısı</t>
        </is>
      </c>
      <c r="D10" s="6" t="inlineStr">
        <is>
          <t>Yeni satıcı, IBAN yok.</t>
        </is>
      </c>
      <c r="E10" s="6" t="inlineStr">
        <is>
          <t>1. Dashboard kontrol</t>
        </is>
      </c>
      <c r="F10" s="6" t="inlineStr">
        <is>
          <t>“Banka bilgilerini ekleyin” uyarısı; payout pending.</t>
        </is>
      </c>
      <c r="G10" s="6" t="inlineStr"/>
      <c r="H10" s="14" t="inlineStr">
        <is>
          <t>Beklemede</t>
        </is>
      </c>
      <c r="I10" s="25" t="inlineStr"/>
      <c r="J10" s="25" t="inlineStr"/>
      <c r="K10" s="25" t="inlineStr"/>
      <c r="L10" s="14" t="inlineStr">
        <is>
          <t>Orta</t>
        </is>
      </c>
      <c r="M10" s="6" t="inlineStr"/>
    </row>
    <row r="11" ht="40" customHeight="1">
      <c r="A11" s="16" t="inlineStr">
        <is>
          <t>W15-008</t>
        </is>
      </c>
      <c r="B11" s="26" t="inlineStr">
        <is>
          <t>W15</t>
        </is>
      </c>
      <c r="C11" s="18" t="inlineStr">
        <is>
          <t>Payout başarılı</t>
        </is>
      </c>
      <c r="D11" s="18" t="inlineStr">
        <is>
          <t>Teslimat + 7 gün geçti, IBAN var.</t>
        </is>
      </c>
      <c r="E11" s="18" t="inlineStr">
        <is>
          <t>1. Payout cron tetiklenir</t>
        </is>
      </c>
      <c r="F11" s="18" t="inlineStr">
        <is>
          <t>Payout 'completed'; mail bildirimi; bakiye 0.</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W16 — Teklif (Offer) Akışı</t>
        </is>
      </c>
    </row>
    <row r="2" ht="28" customHeight="1">
      <c r="A2" s="24" t="inlineStr">
        <is>
          <t>Teklif ver, karşı teklif, kabul/red, expire, ödeme.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W16-001</t>
        </is>
      </c>
      <c r="B4" s="25" t="inlineStr">
        <is>
          <t>W16</t>
        </is>
      </c>
      <c r="C4" s="6" t="inlineStr">
        <is>
          <t>Alınan teklifleri görüntüle</t>
        </is>
      </c>
      <c r="D4" s="6" t="inlineStr">
        <is>
          <t>Satıcı, gelen teklif var.</t>
        </is>
      </c>
      <c r="E4" s="6" t="inlineStr">
        <is>
          <t>1. /offers (Alınan sekmesi) aç</t>
        </is>
      </c>
      <c r="F4" s="6" t="inlineStr">
        <is>
          <t>Tüm teklifler listelenir; durum, miktar, alıcı görünür.</t>
        </is>
      </c>
      <c r="G4" s="6" t="inlineStr"/>
      <c r="H4" s="14" t="inlineStr">
        <is>
          <t>Beklemede</t>
        </is>
      </c>
      <c r="I4" s="25" t="inlineStr"/>
      <c r="J4" s="25" t="inlineStr"/>
      <c r="K4" s="25" t="inlineStr"/>
      <c r="L4" s="14" t="inlineStr">
        <is>
          <t>Orta</t>
        </is>
      </c>
      <c r="M4" s="6" t="inlineStr"/>
    </row>
    <row r="5" ht="40" customHeight="1">
      <c r="A5" s="16" t="inlineStr">
        <is>
          <t>W16-002</t>
        </is>
      </c>
      <c r="B5" s="26" t="inlineStr">
        <is>
          <t>W16</t>
        </is>
      </c>
      <c r="C5" s="18" t="inlineStr">
        <is>
          <t>Teklifi kabul et</t>
        </is>
      </c>
      <c r="D5" s="18" t="inlineStr">
        <is>
          <t>Pending teklif.</t>
        </is>
      </c>
      <c r="E5" s="18" t="inlineStr">
        <is>
          <t>1. Kabul Et'e bas</t>
        </is>
      </c>
      <c r="F5" s="18" t="inlineStr">
        <is>
          <t>Sipariş otomatik oluşur; alıcıya 'ödeme yapın' maili (30dk).</t>
        </is>
      </c>
      <c r="G5" s="18" t="inlineStr"/>
      <c r="H5" s="16" t="inlineStr">
        <is>
          <t>Beklemede</t>
        </is>
      </c>
      <c r="I5" s="26" t="inlineStr"/>
      <c r="J5" s="26" t="inlineStr"/>
      <c r="K5" s="26" t="inlineStr"/>
      <c r="L5" s="16" t="inlineStr">
        <is>
          <t>Kritik</t>
        </is>
      </c>
      <c r="M5" s="18" t="inlineStr"/>
    </row>
    <row r="6" ht="40" customHeight="1">
      <c r="A6" s="14" t="inlineStr">
        <is>
          <t>W16-003</t>
        </is>
      </c>
      <c r="B6" s="25" t="inlineStr">
        <is>
          <t>W16</t>
        </is>
      </c>
      <c r="C6" s="6" t="inlineStr">
        <is>
          <t>Teklifi reddet</t>
        </is>
      </c>
      <c r="D6" s="6" t="inlineStr">
        <is>
          <t>—</t>
        </is>
      </c>
      <c r="E6" s="6" t="inlineStr">
        <is>
          <t>1. Reddet'e bas</t>
        </is>
      </c>
      <c r="F6" s="6" t="inlineStr">
        <is>
          <t>Teklif 'rejected'; alıcıya bildirim.</t>
        </is>
      </c>
      <c r="G6" s="6" t="inlineStr"/>
      <c r="H6" s="14" t="inlineStr">
        <is>
          <t>Beklemede</t>
        </is>
      </c>
      <c r="I6" s="25" t="inlineStr"/>
      <c r="J6" s="25" t="inlineStr"/>
      <c r="K6" s="25" t="inlineStr"/>
      <c r="L6" s="14" t="inlineStr">
        <is>
          <t>Orta</t>
        </is>
      </c>
      <c r="M6" s="6" t="inlineStr"/>
    </row>
    <row r="7" ht="40" customHeight="1">
      <c r="A7" s="16" t="inlineStr">
        <is>
          <t>W16-004</t>
        </is>
      </c>
      <c r="B7" s="26" t="inlineStr">
        <is>
          <t>W16</t>
        </is>
      </c>
      <c r="C7" s="18" t="inlineStr">
        <is>
          <t>Karşı teklif gönder</t>
        </is>
      </c>
      <c r="D7" s="18" t="inlineStr">
        <is>
          <t>—</t>
        </is>
      </c>
      <c r="E7" s="18" t="inlineStr">
        <is>
          <t>1. 'Karşı Teklif' modalı, yeni fiyat gir, gönder</t>
        </is>
      </c>
      <c r="F7" s="18" t="inlineStr">
        <is>
          <t>Teklif 'countered'; alıcıya yeni teklif gider.</t>
        </is>
      </c>
      <c r="G7" s="18" t="inlineStr"/>
      <c r="H7" s="16" t="inlineStr">
        <is>
          <t>Beklemede</t>
        </is>
      </c>
      <c r="I7" s="26" t="inlineStr"/>
      <c r="J7" s="26" t="inlineStr"/>
      <c r="K7" s="26" t="inlineStr"/>
      <c r="L7" s="16" t="inlineStr">
        <is>
          <t>Orta</t>
        </is>
      </c>
      <c r="M7" s="18" t="inlineStr"/>
    </row>
    <row r="8" ht="40" customHeight="1">
      <c r="A8" s="14" t="inlineStr">
        <is>
          <t>W16-005</t>
        </is>
      </c>
      <c r="B8" s="25" t="inlineStr">
        <is>
          <t>W16</t>
        </is>
      </c>
      <c r="C8" s="6" t="inlineStr">
        <is>
          <t>Teklifin süresinin dolması (24 saat)</t>
        </is>
      </c>
      <c r="D8" s="6" t="inlineStr">
        <is>
          <t>Yanıt verilmedi.</t>
        </is>
      </c>
      <c r="E8" s="6" t="inlineStr">
        <is>
          <t>1. 24 saat bekle / cron tetikle</t>
        </is>
      </c>
      <c r="F8" s="6" t="inlineStr">
        <is>
          <t>Teklif 'expired'; iki tarafa bildirim.</t>
        </is>
      </c>
      <c r="G8" s="6" t="inlineStr"/>
      <c r="H8" s="14" t="inlineStr">
        <is>
          <t>Beklemede</t>
        </is>
      </c>
      <c r="I8" s="25" t="inlineStr"/>
      <c r="J8" s="25" t="inlineStr"/>
      <c r="K8" s="25" t="inlineStr"/>
      <c r="L8" s="14" t="inlineStr">
        <is>
          <t>Orta</t>
        </is>
      </c>
      <c r="M8" s="6" t="inlineStr"/>
    </row>
    <row r="9" ht="40" customHeight="1">
      <c r="A9" s="16" t="inlineStr">
        <is>
          <t>W16-006</t>
        </is>
      </c>
      <c r="B9" s="26" t="inlineStr">
        <is>
          <t>W16</t>
        </is>
      </c>
      <c r="C9" s="18" t="inlineStr">
        <is>
          <t>Kabul edilen teklif için ödeme</t>
        </is>
      </c>
      <c r="D9" s="18" t="inlineStr">
        <is>
          <t>Teklif kabul, sipariş oluşmuş.</t>
        </is>
      </c>
      <c r="E9" s="18" t="inlineStr">
        <is>
          <t>1. Mailden ödeme linkine git, PayTR ile öde</t>
        </is>
      </c>
      <c r="F9" s="18" t="inlineStr">
        <is>
          <t>Sipariş normal akışa girer.</t>
        </is>
      </c>
      <c r="G9" s="18" t="inlineStr"/>
      <c r="H9" s="16" t="inlineStr">
        <is>
          <t>Beklemede</t>
        </is>
      </c>
      <c r="I9" s="26" t="inlineStr"/>
      <c r="J9" s="26" t="inlineStr"/>
      <c r="K9" s="26" t="inlineStr"/>
      <c r="L9" s="16" t="inlineStr">
        <is>
          <t>Orta</t>
        </is>
      </c>
      <c r="M9" s="18" t="inlineStr"/>
    </row>
    <row r="10" ht="40" customHeight="1">
      <c r="A10" s="14" t="inlineStr">
        <is>
          <t>W16-007</t>
        </is>
      </c>
      <c r="B10" s="25" t="inlineStr">
        <is>
          <t>W16</t>
        </is>
      </c>
      <c r="C10" s="6" t="inlineStr">
        <is>
          <t>Kabul edilen teklif ödeme yapılmadı</t>
        </is>
      </c>
      <c r="D10" s="6" t="inlineStr">
        <is>
          <t>30 dk geçti.</t>
        </is>
      </c>
      <c r="E10" s="6" t="inlineStr">
        <is>
          <t>1. Cron'u bekle</t>
        </is>
      </c>
      <c r="F10" s="6" t="inlineStr">
        <is>
          <t>Sipariş iptal; teklif 'expired_unpaid'; satıcıya bildirim.</t>
        </is>
      </c>
      <c r="G10" s="6" t="inlineStr"/>
      <c r="H10" s="14" t="inlineStr">
        <is>
          <t>Beklemede</t>
        </is>
      </c>
      <c r="I10" s="25" t="inlineStr"/>
      <c r="J10" s="25" t="inlineStr"/>
      <c r="K10" s="25" t="inlineStr"/>
      <c r="L10" s="14" t="inlineStr">
        <is>
          <t>Orta</t>
        </is>
      </c>
      <c r="M10" s="6" t="inlineStr"/>
    </row>
    <row r="11" ht="40" customHeight="1">
      <c r="A11" s="16" t="inlineStr">
        <is>
          <t>W16-008</t>
        </is>
      </c>
      <c r="B11" s="26" t="inlineStr">
        <is>
          <t>W16</t>
        </is>
      </c>
      <c r="C11" s="18" t="inlineStr">
        <is>
          <t>Gönderilen teklifler sekmesi</t>
        </is>
      </c>
      <c r="D11" s="18" t="inlineStr">
        <is>
          <t>Alıcı, teklif vermiş.</t>
        </is>
      </c>
      <c r="E11" s="18" t="inlineStr">
        <is>
          <t>1. /offers (Gönderilen) aç</t>
        </is>
      </c>
      <c r="F11" s="18" t="inlineStr">
        <is>
          <t>Verdiği tüm teklifler durumlarıyla listelenir.</t>
        </is>
      </c>
      <c r="G11" s="18" t="inlineStr"/>
      <c r="H11" s="16" t="inlineStr">
        <is>
          <t>Beklemede</t>
        </is>
      </c>
      <c r="I11" s="26" t="inlineStr"/>
      <c r="J11" s="26" t="inlineStr"/>
      <c r="K11" s="26" t="inlineStr"/>
      <c r="L11" s="16" t="inlineStr">
        <is>
          <t>Orta</t>
        </is>
      </c>
      <c r="M11" s="18" t="inlineStr"/>
    </row>
    <row r="12" ht="40" customHeight="1">
      <c r="A12" s="14" t="inlineStr">
        <is>
          <t>W16-009</t>
        </is>
      </c>
      <c r="B12" s="25" t="inlineStr">
        <is>
          <t>W16</t>
        </is>
      </c>
      <c r="C12" s="6" t="inlineStr">
        <is>
          <t>Teklifi geri çekme</t>
        </is>
      </c>
      <c r="D12" s="6" t="inlineStr">
        <is>
          <t>Pending teklif.</t>
        </is>
      </c>
      <c r="E12" s="6" t="inlineStr">
        <is>
          <t>1. İptal Et</t>
        </is>
      </c>
      <c r="F12" s="6" t="inlineStr">
        <is>
          <t>Teklif 'cancelled'; satıcıya bildirim.</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W17 — Takas (Trade) Akışı</t>
        </is>
      </c>
    </row>
    <row r="2" ht="28" customHeight="1">
      <c r="A2" s="24" t="inlineStr">
        <is>
          <t>Takas teklifi, kabul, çift kargo, depo, tamamlama, anlaşmazlık.</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W17-001</t>
        </is>
      </c>
      <c r="B4" s="25" t="inlineStr">
        <is>
          <t>W17</t>
        </is>
      </c>
      <c r="C4" s="6" t="inlineStr">
        <is>
          <t>Takas teklifi oluşturma</t>
        </is>
      </c>
      <c r="D4" s="6" t="inlineStr">
        <is>
          <t>İki tarafın takas-uygun ürünü.</t>
        </is>
      </c>
      <c r="E4" s="6" t="inlineStr">
        <is>
          <t>1. Hedef ürünün sayfasında 'Takas Öner'
2. Kendi ürününü seç, nakit fark gir (opsiyonel), gönder</t>
        </is>
      </c>
      <c r="F4" s="6" t="inlineStr">
        <is>
          <t>Takas oluşur; karşı tarafa bildirim; durum 'pending'.</t>
        </is>
      </c>
      <c r="G4" s="6" t="inlineStr"/>
      <c r="H4" s="14" t="inlineStr">
        <is>
          <t>Beklemede</t>
        </is>
      </c>
      <c r="I4" s="25" t="inlineStr"/>
      <c r="J4" s="25" t="inlineStr"/>
      <c r="K4" s="25" t="inlineStr"/>
      <c r="L4" s="14" t="inlineStr">
        <is>
          <t>Kritik</t>
        </is>
      </c>
      <c r="M4" s="6" t="inlineStr"/>
    </row>
    <row r="5" ht="40" customHeight="1">
      <c r="A5" s="16" t="inlineStr">
        <is>
          <t>W17-002</t>
        </is>
      </c>
      <c r="B5" s="26" t="inlineStr">
        <is>
          <t>W17</t>
        </is>
      </c>
      <c r="C5" s="18" t="inlineStr">
        <is>
          <t>Takas kabul</t>
        </is>
      </c>
      <c r="D5" s="18" t="inlineStr">
        <is>
          <t>—</t>
        </is>
      </c>
      <c r="E5" s="18" t="inlineStr">
        <is>
          <t>1. /trades aç, kabul et</t>
        </is>
      </c>
      <c r="F5" s="18" t="inlineStr">
        <is>
          <t>Durum 'accepted'; ürünler kilitlenir (reservedQuantity).</t>
        </is>
      </c>
      <c r="G5" s="18" t="inlineStr"/>
      <c r="H5" s="16" t="inlineStr">
        <is>
          <t>Beklemede</t>
        </is>
      </c>
      <c r="I5" s="26" t="inlineStr"/>
      <c r="J5" s="26" t="inlineStr"/>
      <c r="K5" s="26" t="inlineStr"/>
      <c r="L5" s="16" t="inlineStr">
        <is>
          <t>Orta</t>
        </is>
      </c>
      <c r="M5" s="18" t="inlineStr"/>
    </row>
    <row r="6" ht="40" customHeight="1">
      <c r="A6" s="14" t="inlineStr">
        <is>
          <t>W17-003</t>
        </is>
      </c>
      <c r="B6" s="25" t="inlineStr">
        <is>
          <t>W17</t>
        </is>
      </c>
      <c r="C6" s="6" t="inlineStr">
        <is>
          <t>Nakit fark için ödeme</t>
        </is>
      </c>
      <c r="D6" s="6" t="inlineStr">
        <is>
          <t>Cash diff &gt; 0.</t>
        </is>
      </c>
      <c r="E6" s="6" t="inlineStr">
        <is>
          <t>1. Ödeme adımına git, PayTR ile öde</t>
        </is>
      </c>
      <c r="F6" s="6" t="inlineStr">
        <is>
          <t>Cash payment 'completed'; takas 'shipping' aşamasına geçer.</t>
        </is>
      </c>
      <c r="G6" s="6" t="inlineStr"/>
      <c r="H6" s="14" t="inlineStr">
        <is>
          <t>Beklemede</t>
        </is>
      </c>
      <c r="I6" s="25" t="inlineStr"/>
      <c r="J6" s="25" t="inlineStr"/>
      <c r="K6" s="25" t="inlineStr"/>
      <c r="L6" s="14" t="inlineStr">
        <is>
          <t>Orta</t>
        </is>
      </c>
      <c r="M6" s="6" t="inlineStr"/>
    </row>
    <row r="7" ht="40" customHeight="1">
      <c r="A7" s="16" t="inlineStr">
        <is>
          <t>W17-004</t>
        </is>
      </c>
      <c r="B7" s="26" t="inlineStr">
        <is>
          <t>W17</t>
        </is>
      </c>
      <c r="C7" s="18" t="inlineStr">
        <is>
          <t>Her iki taraf kargo bilgisi girişi</t>
        </is>
      </c>
      <c r="D7" s="18" t="inlineStr">
        <is>
          <t>—</t>
        </is>
      </c>
      <c r="E7" s="18" t="inlineStr">
        <is>
          <t>1. Tarafların kargo no girmesi</t>
        </is>
      </c>
      <c r="F7" s="18" t="inlineStr">
        <is>
          <t>İki taraf da kargo girer; durum 'in_transit'.</t>
        </is>
      </c>
      <c r="G7" s="18" t="inlineStr"/>
      <c r="H7" s="16" t="inlineStr">
        <is>
          <t>Beklemede</t>
        </is>
      </c>
      <c r="I7" s="26" t="inlineStr"/>
      <c r="J7" s="26" t="inlineStr"/>
      <c r="K7" s="26" t="inlineStr"/>
      <c r="L7" s="16" t="inlineStr">
        <is>
          <t>Orta</t>
        </is>
      </c>
      <c r="M7" s="18" t="inlineStr"/>
    </row>
    <row r="8" ht="40" customHeight="1">
      <c r="A8" s="14" t="inlineStr">
        <is>
          <t>W17-005</t>
        </is>
      </c>
      <c r="B8" s="25" t="inlineStr">
        <is>
          <t>W17</t>
        </is>
      </c>
      <c r="C8" s="6" t="inlineStr">
        <is>
          <t>Depo seçeneği (varsa)</t>
        </is>
      </c>
      <c r="D8" s="6" t="inlineStr">
        <is>
          <t>Depo modu aktif takas.</t>
        </is>
      </c>
      <c r="E8" s="6" t="inlineStr">
        <is>
          <t>1. Ürünleri Tarodan deposuna gönder</t>
        </is>
      </c>
      <c r="F8" s="6" t="inlineStr">
        <is>
          <t>Admin deposu inceler; karşı tarafa gönderilir.</t>
        </is>
      </c>
      <c r="G8" s="6" t="inlineStr"/>
      <c r="H8" s="14" t="inlineStr">
        <is>
          <t>Beklemede</t>
        </is>
      </c>
      <c r="I8" s="25" t="inlineStr"/>
      <c r="J8" s="25" t="inlineStr"/>
      <c r="K8" s="25" t="inlineStr"/>
      <c r="L8" s="14" t="inlineStr">
        <is>
          <t>Orta</t>
        </is>
      </c>
      <c r="M8" s="6" t="inlineStr"/>
    </row>
    <row r="9" ht="40" customHeight="1">
      <c r="A9" s="16" t="inlineStr">
        <is>
          <t>W17-006</t>
        </is>
      </c>
      <c r="B9" s="26" t="inlineStr">
        <is>
          <t>W17</t>
        </is>
      </c>
      <c r="C9" s="18" t="inlineStr">
        <is>
          <t>Her iki taraf teslim aldı işaretleme</t>
        </is>
      </c>
      <c r="D9" s="18" t="inlineStr">
        <is>
          <t>Kargolar teslim.</t>
        </is>
      </c>
      <c r="E9" s="18" t="inlineStr">
        <is>
          <t>1. Her iki taraf teslim onaylar</t>
        </is>
      </c>
      <c r="F9" s="18" t="inlineStr">
        <is>
          <t>Takas 'completed'; rating verme imkanı açılır.</t>
        </is>
      </c>
      <c r="G9" s="18" t="inlineStr"/>
      <c r="H9" s="16" t="inlineStr">
        <is>
          <t>Beklemede</t>
        </is>
      </c>
      <c r="I9" s="26" t="inlineStr"/>
      <c r="J9" s="26" t="inlineStr"/>
      <c r="K9" s="26" t="inlineStr"/>
      <c r="L9" s="16" t="inlineStr">
        <is>
          <t>Orta</t>
        </is>
      </c>
      <c r="M9" s="18" t="inlineStr"/>
    </row>
    <row r="10" ht="40" customHeight="1">
      <c r="A10" s="14" t="inlineStr">
        <is>
          <t>W17-007</t>
        </is>
      </c>
      <c r="B10" s="25" t="inlineStr">
        <is>
          <t>W17</t>
        </is>
      </c>
      <c r="C10" s="6" t="inlineStr">
        <is>
          <t>Takas anlaşmazlığı (dispute)</t>
        </is>
      </c>
      <c r="D10" s="6" t="inlineStr">
        <is>
          <t>Bir taraf anlaşmazlık başlatır.</t>
        </is>
      </c>
      <c r="E10" s="6" t="inlineStr">
        <is>
          <t>1. Dispute Aç → açıklama</t>
        </is>
      </c>
      <c r="F10" s="6" t="inlineStr">
        <is>
          <t>Durum 'disputed'; admin paneline düşer; mail bildirimi.</t>
        </is>
      </c>
      <c r="G10" s="6" t="inlineStr"/>
      <c r="H10" s="14" t="inlineStr">
        <is>
          <t>Beklemede</t>
        </is>
      </c>
      <c r="I10" s="25" t="inlineStr"/>
      <c r="J10" s="25" t="inlineStr"/>
      <c r="K10" s="25" t="inlineStr"/>
      <c r="L10" s="14" t="inlineStr">
        <is>
          <t>Orta</t>
        </is>
      </c>
      <c r="M10" s="6" t="inlineStr"/>
    </row>
    <row r="11" ht="40" customHeight="1">
      <c r="A11" s="16" t="inlineStr">
        <is>
          <t>W17-008</t>
        </is>
      </c>
      <c r="B11" s="26" t="inlineStr">
        <is>
          <t>W17</t>
        </is>
      </c>
      <c r="C11" s="18" t="inlineStr">
        <is>
          <t>Takas süresi dolması</t>
        </is>
      </c>
      <c r="D11" s="18" t="inlineStr">
        <is>
          <t>Yanıt deadline aşıldı.</t>
        </is>
      </c>
      <c r="E11" s="18" t="inlineStr">
        <is>
          <t>1. Cron'u bekle</t>
        </is>
      </c>
      <c r="F11" s="18" t="inlineStr">
        <is>
          <t>Otomatik iptal; nakit fark refund; rezerv serbest.</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W18 — Mesajlaşma</t>
        </is>
      </c>
    </row>
    <row r="2" ht="28" customHeight="1">
      <c r="A2" s="24" t="inlineStr">
        <is>
          <t>Sohbet, içerik filtresi, bloke, arşiv, görsel paylaşımı.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W18-001</t>
        </is>
      </c>
      <c r="B4" s="25" t="inlineStr">
        <is>
          <t>W18</t>
        </is>
      </c>
      <c r="C4" s="6" t="inlineStr">
        <is>
          <t>Mesaj listesi</t>
        </is>
      </c>
      <c r="D4" s="6" t="inlineStr">
        <is>
          <t>Üye, mevcut threadler.</t>
        </is>
      </c>
      <c r="E4" s="6" t="inlineStr">
        <is>
          <t>1. /messages aç</t>
        </is>
      </c>
      <c r="F4" s="6" t="inlineStr">
        <is>
          <t>Sol panelde threadler, sağda boş veya seçili sohbet.</t>
        </is>
      </c>
      <c r="G4" s="6" t="inlineStr"/>
      <c r="H4" s="14" t="inlineStr">
        <is>
          <t>Beklemede</t>
        </is>
      </c>
      <c r="I4" s="25" t="inlineStr"/>
      <c r="J4" s="25" t="inlineStr"/>
      <c r="K4" s="25" t="inlineStr"/>
      <c r="L4" s="14" t="inlineStr">
        <is>
          <t>Orta</t>
        </is>
      </c>
      <c r="M4" s="6" t="inlineStr"/>
    </row>
    <row r="5" ht="40" customHeight="1">
      <c r="A5" s="16" t="inlineStr">
        <is>
          <t>W18-002</t>
        </is>
      </c>
      <c r="B5" s="26" t="inlineStr">
        <is>
          <t>W18</t>
        </is>
      </c>
      <c r="C5" s="18" t="inlineStr">
        <is>
          <t>Yeni mesaj gönderme</t>
        </is>
      </c>
      <c r="D5" s="18" t="inlineStr">
        <is>
          <t>—</t>
        </is>
      </c>
      <c r="E5" s="18" t="inlineStr">
        <is>
          <t>1. Bir thread aç, mesaj yaz, gönder</t>
        </is>
      </c>
      <c r="F5" s="18" t="inlineStr">
        <is>
          <t>Mesaj anında görünür; karşı tarafa bildirim/mail.</t>
        </is>
      </c>
      <c r="G5" s="18" t="inlineStr"/>
      <c r="H5" s="16" t="inlineStr">
        <is>
          <t>Beklemede</t>
        </is>
      </c>
      <c r="I5" s="26" t="inlineStr"/>
      <c r="J5" s="26" t="inlineStr"/>
      <c r="K5" s="26" t="inlineStr"/>
      <c r="L5" s="16" t="inlineStr">
        <is>
          <t>Yüksek</t>
        </is>
      </c>
      <c r="M5" s="18" t="inlineStr"/>
    </row>
    <row r="6" ht="40" customHeight="1">
      <c r="A6" s="14" t="inlineStr">
        <is>
          <t>W18-003</t>
        </is>
      </c>
      <c r="B6" s="25" t="inlineStr">
        <is>
          <t>W18</t>
        </is>
      </c>
      <c r="C6" s="6" t="inlineStr">
        <is>
          <t>Görsel paylaşma</t>
        </is>
      </c>
      <c r="D6" s="6" t="inlineStr">
        <is>
          <t>—</t>
        </is>
      </c>
      <c r="E6" s="6" t="inlineStr">
        <is>
          <t>1. Resim yükle, gönder</t>
        </is>
      </c>
      <c r="F6" s="6" t="inlineStr">
        <is>
          <t>Görsel yüklenir; preview açılır.</t>
        </is>
      </c>
      <c r="G6" s="6" t="inlineStr"/>
      <c r="H6" s="14" t="inlineStr">
        <is>
          <t>Beklemede</t>
        </is>
      </c>
      <c r="I6" s="25" t="inlineStr"/>
      <c r="J6" s="25" t="inlineStr"/>
      <c r="K6" s="25" t="inlineStr"/>
      <c r="L6" s="14" t="inlineStr">
        <is>
          <t>Orta</t>
        </is>
      </c>
      <c r="M6" s="6" t="inlineStr"/>
    </row>
    <row r="7" ht="40" customHeight="1">
      <c r="A7" s="16" t="inlineStr">
        <is>
          <t>W18-004</t>
        </is>
      </c>
      <c r="B7" s="26" t="inlineStr">
        <is>
          <t>W18</t>
        </is>
      </c>
      <c r="C7" s="18" t="inlineStr">
        <is>
          <t>Telefon/IBAN/email içerik filtresi</t>
        </is>
      </c>
      <c r="D7" s="18" t="inlineStr">
        <is>
          <t>—</t>
        </is>
      </c>
      <c r="E7" s="18" t="inlineStr">
        <is>
          <t>1. Mesaja telefon yaz, gönder</t>
        </is>
      </c>
      <c r="F7" s="18" t="inlineStr">
        <is>
          <t>Filtre tetiklenir; gönderim engellenir veya maskelenir.</t>
        </is>
      </c>
      <c r="G7" s="18" t="inlineStr"/>
      <c r="H7" s="16" t="inlineStr">
        <is>
          <t>Beklemede</t>
        </is>
      </c>
      <c r="I7" s="26" t="inlineStr"/>
      <c r="J7" s="26" t="inlineStr"/>
      <c r="K7" s="26" t="inlineStr"/>
      <c r="L7" s="16" t="inlineStr">
        <is>
          <t>Kritik</t>
        </is>
      </c>
      <c r="M7" s="18" t="inlineStr"/>
    </row>
    <row r="8" ht="40" customHeight="1">
      <c r="A8" s="14" t="inlineStr">
        <is>
          <t>W18-005</t>
        </is>
      </c>
      <c r="B8" s="25" t="inlineStr">
        <is>
          <t>W18</t>
        </is>
      </c>
      <c r="C8" s="6" t="inlineStr">
        <is>
          <t>Kullanıcıyı bloke etme</t>
        </is>
      </c>
      <c r="D8" s="6" t="inlineStr">
        <is>
          <t>—</t>
        </is>
      </c>
      <c r="E8" s="6" t="inlineStr">
        <is>
          <t>1. Thread → 3 nokta → Bloke Et</t>
        </is>
      </c>
      <c r="F8" s="6" t="inlineStr">
        <is>
          <t>Karşı taraf mesaj gönderemez; bloke listesinde görünür.</t>
        </is>
      </c>
      <c r="G8" s="6" t="inlineStr"/>
      <c r="H8" s="14" t="inlineStr">
        <is>
          <t>Beklemede</t>
        </is>
      </c>
      <c r="I8" s="25" t="inlineStr"/>
      <c r="J8" s="25" t="inlineStr"/>
      <c r="K8" s="25" t="inlineStr"/>
      <c r="L8" s="14" t="inlineStr">
        <is>
          <t>Orta</t>
        </is>
      </c>
      <c r="M8" s="6" t="inlineStr"/>
    </row>
    <row r="9" ht="40" customHeight="1">
      <c r="A9" s="16" t="inlineStr">
        <is>
          <t>W18-006</t>
        </is>
      </c>
      <c r="B9" s="26" t="inlineStr">
        <is>
          <t>W18</t>
        </is>
      </c>
      <c r="C9" s="18" t="inlineStr">
        <is>
          <t>Bloke kaldırma</t>
        </is>
      </c>
      <c r="D9" s="18" t="inlineStr">
        <is>
          <t>Bloke kullanıcı.</t>
        </is>
      </c>
      <c r="E9" s="18" t="inlineStr">
        <is>
          <t>1. Profil ayarlarından bloke kaldır</t>
        </is>
      </c>
      <c r="F9" s="18" t="inlineStr">
        <is>
          <t>Kullanıcı yeniden mesaj gönderebilir.</t>
        </is>
      </c>
      <c r="G9" s="18" t="inlineStr"/>
      <c r="H9" s="16" t="inlineStr">
        <is>
          <t>Beklemede</t>
        </is>
      </c>
      <c r="I9" s="26" t="inlineStr"/>
      <c r="J9" s="26" t="inlineStr"/>
      <c r="K9" s="26" t="inlineStr"/>
      <c r="L9" s="16" t="inlineStr">
        <is>
          <t>Orta</t>
        </is>
      </c>
      <c r="M9" s="18" t="inlineStr"/>
    </row>
    <row r="10" ht="40" customHeight="1">
      <c r="A10" s="14" t="inlineStr">
        <is>
          <t>W18-007</t>
        </is>
      </c>
      <c r="B10" s="25" t="inlineStr">
        <is>
          <t>W18</t>
        </is>
      </c>
      <c r="C10" s="6" t="inlineStr">
        <is>
          <t>Threadi arşivle</t>
        </is>
      </c>
      <c r="D10" s="6" t="inlineStr">
        <is>
          <t>—</t>
        </is>
      </c>
      <c r="E10" s="6" t="inlineStr">
        <is>
          <t>1. Thread → Arşivle</t>
        </is>
      </c>
      <c r="F10" s="6" t="inlineStr">
        <is>
          <t>Ana listeden kalkar; arşiv sekmesinde görünür.</t>
        </is>
      </c>
      <c r="G10" s="6" t="inlineStr"/>
      <c r="H10" s="14" t="inlineStr">
        <is>
          <t>Beklemede</t>
        </is>
      </c>
      <c r="I10" s="25" t="inlineStr"/>
      <c r="J10" s="25" t="inlineStr"/>
      <c r="K10" s="25" t="inlineStr"/>
      <c r="L10" s="14" t="inlineStr">
        <is>
          <t>Orta</t>
        </is>
      </c>
      <c r="M10" s="6" t="inlineStr"/>
    </row>
    <row r="11" ht="40" customHeight="1">
      <c r="A11" s="16" t="inlineStr">
        <is>
          <t>W18-008</t>
        </is>
      </c>
      <c r="B11" s="26" t="inlineStr">
        <is>
          <t>W18</t>
        </is>
      </c>
      <c r="C11" s="18" t="inlineStr">
        <is>
          <t>Okunmamış sayacı</t>
        </is>
      </c>
      <c r="D11" s="18" t="inlineStr">
        <is>
          <t>Yeni mesaj geldi.</t>
        </is>
      </c>
      <c r="E11" s="18" t="inlineStr">
        <is>
          <t>1. Üst menüye bak</t>
        </is>
      </c>
      <c r="F11" s="18" t="inlineStr">
        <is>
          <t>Sayaç doğru; okunduktan sonra sıfırlanır.</t>
        </is>
      </c>
      <c r="G11" s="18" t="inlineStr"/>
      <c r="H11" s="16" t="inlineStr">
        <is>
          <t>Beklemede</t>
        </is>
      </c>
      <c r="I11" s="26" t="inlineStr"/>
      <c r="J11" s="26" t="inlineStr"/>
      <c r="K11" s="26" t="inlineStr"/>
      <c r="L11" s="16" t="inlineStr">
        <is>
          <t>Orta</t>
        </is>
      </c>
      <c r="M11" s="18" t="inlineStr"/>
    </row>
    <row r="12" ht="40" customHeight="1">
      <c r="A12" s="14" t="inlineStr">
        <is>
          <t>W18-009</t>
        </is>
      </c>
      <c r="B12" s="25" t="inlineStr">
        <is>
          <t>W18</t>
        </is>
      </c>
      <c r="C12" s="6" t="inlineStr">
        <is>
          <t>Realtime mesaj geldi</t>
        </is>
      </c>
      <c r="D12" s="6" t="inlineStr">
        <is>
          <t>İki sekmede iki kullanıcı.</t>
        </is>
      </c>
      <c r="E12" s="6" t="inlineStr">
        <is>
          <t>1. Birinden mesaj gönder</t>
        </is>
      </c>
      <c r="F12" s="6" t="inlineStr">
        <is>
          <t>Diğer sekme websocket ile anında gösterir.</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W19 — Bildirim Merkezi</t>
        </is>
      </c>
    </row>
    <row r="2" ht="28" customHeight="1">
      <c r="A2" s="24" t="inlineStr">
        <is>
          <t>Bildirim listesi, filtreleme, okundu işaretleme, ayarlar.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W19-001</t>
        </is>
      </c>
      <c r="B4" s="25" t="inlineStr">
        <is>
          <t>W19</t>
        </is>
      </c>
      <c r="C4" s="6" t="inlineStr">
        <is>
          <t>Bildirim listesi</t>
        </is>
      </c>
      <c r="D4" s="6" t="inlineStr">
        <is>
          <t>Birden fazla bildirim.</t>
        </is>
      </c>
      <c r="E4" s="6" t="inlineStr">
        <is>
          <t>1. /notifications aç</t>
        </is>
      </c>
      <c r="F4" s="6" t="inlineStr">
        <is>
          <t>En yeni en üstte; ikon, başlık, zaman görünür.</t>
        </is>
      </c>
      <c r="G4" s="6" t="inlineStr"/>
      <c r="H4" s="14" t="inlineStr">
        <is>
          <t>Beklemede</t>
        </is>
      </c>
      <c r="I4" s="25" t="inlineStr"/>
      <c r="J4" s="25" t="inlineStr"/>
      <c r="K4" s="25" t="inlineStr"/>
      <c r="L4" s="14" t="inlineStr">
        <is>
          <t>Orta</t>
        </is>
      </c>
      <c r="M4" s="6" t="inlineStr"/>
    </row>
    <row r="5" ht="40" customHeight="1">
      <c r="A5" s="16" t="inlineStr">
        <is>
          <t>W19-002</t>
        </is>
      </c>
      <c r="B5" s="26" t="inlineStr">
        <is>
          <t>W19</t>
        </is>
      </c>
      <c r="C5" s="18" t="inlineStr">
        <is>
          <t>Filtreleme (sipariş/teklif/mesaj)</t>
        </is>
      </c>
      <c r="D5" s="18" t="inlineStr">
        <is>
          <t>—</t>
        </is>
      </c>
      <c r="E5" s="18" t="inlineStr">
        <is>
          <t>1. Üst sekmeleri kullan</t>
        </is>
      </c>
      <c r="F5" s="18" t="inlineStr">
        <is>
          <t>Liste filtrelenir; sayaç güncellenir.</t>
        </is>
      </c>
      <c r="G5" s="18" t="inlineStr"/>
      <c r="H5" s="16" t="inlineStr">
        <is>
          <t>Beklemede</t>
        </is>
      </c>
      <c r="I5" s="26" t="inlineStr"/>
      <c r="J5" s="26" t="inlineStr"/>
      <c r="K5" s="26" t="inlineStr"/>
      <c r="L5" s="16" t="inlineStr">
        <is>
          <t>Orta</t>
        </is>
      </c>
      <c r="M5" s="18" t="inlineStr"/>
    </row>
    <row r="6" ht="40" customHeight="1">
      <c r="A6" s="14" t="inlineStr">
        <is>
          <t>W19-003</t>
        </is>
      </c>
      <c r="B6" s="25" t="inlineStr">
        <is>
          <t>W19</t>
        </is>
      </c>
      <c r="C6" s="6" t="inlineStr">
        <is>
          <t>Okundu / okunmadı işaretleme</t>
        </is>
      </c>
      <c r="D6" s="6" t="inlineStr">
        <is>
          <t>—</t>
        </is>
      </c>
      <c r="E6" s="6" t="inlineStr">
        <is>
          <t>1. Bir bildirimi okundu işaretle</t>
        </is>
      </c>
      <c r="F6" s="6" t="inlineStr">
        <is>
          <t>Görsel olarak fade; tüm cihazlarda senkron.</t>
        </is>
      </c>
      <c r="G6" s="6" t="inlineStr"/>
      <c r="H6" s="14" t="inlineStr">
        <is>
          <t>Beklemede</t>
        </is>
      </c>
      <c r="I6" s="25" t="inlineStr"/>
      <c r="J6" s="25" t="inlineStr"/>
      <c r="K6" s="25" t="inlineStr"/>
      <c r="L6" s="14" t="inlineStr">
        <is>
          <t>Orta</t>
        </is>
      </c>
      <c r="M6" s="6" t="inlineStr"/>
    </row>
    <row r="7" ht="40" customHeight="1">
      <c r="A7" s="16" t="inlineStr">
        <is>
          <t>W19-004</t>
        </is>
      </c>
      <c r="B7" s="26" t="inlineStr">
        <is>
          <t>W19</t>
        </is>
      </c>
      <c r="C7" s="18" t="inlineStr">
        <is>
          <t>Tümünü temizle</t>
        </is>
      </c>
      <c r="D7" s="18" t="inlineStr">
        <is>
          <t>—</t>
        </is>
      </c>
      <c r="E7" s="18" t="inlineStr">
        <is>
          <t>1. 'Tümünü Okundu Yap'</t>
        </is>
      </c>
      <c r="F7" s="18" t="inlineStr">
        <is>
          <t>Tüm bildirimler okunmuş; sayaç sıfır.</t>
        </is>
      </c>
      <c r="G7" s="18" t="inlineStr"/>
      <c r="H7" s="16" t="inlineStr">
        <is>
          <t>Beklemede</t>
        </is>
      </c>
      <c r="I7" s="26" t="inlineStr"/>
      <c r="J7" s="26" t="inlineStr"/>
      <c r="K7" s="26" t="inlineStr"/>
      <c r="L7" s="16" t="inlineStr">
        <is>
          <t>Orta</t>
        </is>
      </c>
      <c r="M7" s="18" t="inlineStr"/>
    </row>
    <row r="8" ht="40" customHeight="1">
      <c r="A8" s="14" t="inlineStr">
        <is>
          <t>W19-005</t>
        </is>
      </c>
      <c r="B8" s="25" t="inlineStr">
        <is>
          <t>W19</t>
        </is>
      </c>
      <c r="C8" s="6" t="inlineStr">
        <is>
          <t>Bildirim tıklama → ilgili sayfa</t>
        </is>
      </c>
      <c r="D8" s="6" t="inlineStr">
        <is>
          <t>—</t>
        </is>
      </c>
      <c r="E8" s="6" t="inlineStr">
        <is>
          <t>1. Sipariş bildirimine tıkla</t>
        </is>
      </c>
      <c r="F8" s="6" t="inlineStr">
        <is>
          <t>İlgili sipariş detay sayfasına yönlendirir.</t>
        </is>
      </c>
      <c r="G8" s="6" t="inlineStr"/>
      <c r="H8" s="14" t="inlineStr">
        <is>
          <t>Beklemede</t>
        </is>
      </c>
      <c r="I8" s="25" t="inlineStr"/>
      <c r="J8" s="25" t="inlineStr"/>
      <c r="K8" s="25" t="inlineStr"/>
      <c r="L8" s="14" t="inlineStr">
        <is>
          <t>Orta</t>
        </is>
      </c>
      <c r="M8" s="6" t="inlineStr"/>
    </row>
    <row r="9" ht="40" customHeight="1">
      <c r="A9" s="16" t="inlineStr">
        <is>
          <t>W19-006</t>
        </is>
      </c>
      <c r="B9" s="26" t="inlineStr">
        <is>
          <t>W19</t>
        </is>
      </c>
      <c r="C9" s="18" t="inlineStr">
        <is>
          <t>Bildirim ayarları (mail/push aç-kapat)</t>
        </is>
      </c>
      <c r="D9" s="18" t="inlineStr">
        <is>
          <t>—</t>
        </is>
      </c>
      <c r="E9" s="18" t="inlineStr">
        <is>
          <t>1. Ayarlara git, kategorileri değiştir</t>
        </is>
      </c>
      <c r="F9" s="18" t="inlineStr">
        <is>
          <t>Ayarlar kaydedilir; sonraki olaylarda uygulanır.</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W20 — Favoriler, Wishlist, Koleksiyonlar</t>
        </is>
      </c>
    </row>
    <row r="2" ht="28" customHeight="1">
      <c r="A2" s="24" t="inlineStr">
        <is>
          <t>Beğenme, koleksiyon oluşturma, paylaşım, fiyat düşüş takibi.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W20-001</t>
        </is>
      </c>
      <c r="B4" s="25" t="inlineStr">
        <is>
          <t>W20</t>
        </is>
      </c>
      <c r="C4" s="6" t="inlineStr">
        <is>
          <t>Favorilere ürün ekle</t>
        </is>
      </c>
      <c r="D4" s="6" t="inlineStr">
        <is>
          <t>—</t>
        </is>
      </c>
      <c r="E4" s="6" t="inlineStr">
        <is>
          <t>1. Üründe kalp ikonuna bas</t>
        </is>
      </c>
      <c r="F4" s="6" t="inlineStr">
        <is>
          <t>/favorites listesinde görünür.</t>
        </is>
      </c>
      <c r="G4" s="6" t="inlineStr"/>
      <c r="H4" s="14" t="inlineStr">
        <is>
          <t>Beklemede</t>
        </is>
      </c>
      <c r="I4" s="25" t="inlineStr"/>
      <c r="J4" s="25" t="inlineStr"/>
      <c r="K4" s="25" t="inlineStr"/>
      <c r="L4" s="14" t="inlineStr">
        <is>
          <t>Orta</t>
        </is>
      </c>
      <c r="M4" s="6" t="inlineStr"/>
    </row>
    <row r="5" ht="40" customHeight="1">
      <c r="A5" s="16" t="inlineStr">
        <is>
          <t>W20-002</t>
        </is>
      </c>
      <c r="B5" s="26" t="inlineStr">
        <is>
          <t>W20</t>
        </is>
      </c>
      <c r="C5" s="18" t="inlineStr">
        <is>
          <t>Favorilerden çıkar</t>
        </is>
      </c>
      <c r="D5" s="18" t="inlineStr">
        <is>
          <t>—</t>
        </is>
      </c>
      <c r="E5" s="18" t="inlineStr">
        <is>
          <t>1. Tekrar kalp</t>
        </is>
      </c>
      <c r="F5" s="18" t="inlineStr">
        <is>
          <t>Listeden kalkar.</t>
        </is>
      </c>
      <c r="G5" s="18" t="inlineStr"/>
      <c r="H5" s="16" t="inlineStr">
        <is>
          <t>Beklemede</t>
        </is>
      </c>
      <c r="I5" s="26" t="inlineStr"/>
      <c r="J5" s="26" t="inlineStr"/>
      <c r="K5" s="26" t="inlineStr"/>
      <c r="L5" s="16" t="inlineStr">
        <is>
          <t>Orta</t>
        </is>
      </c>
      <c r="M5" s="18" t="inlineStr"/>
    </row>
    <row r="6" ht="40" customHeight="1">
      <c r="A6" s="14" t="inlineStr">
        <is>
          <t>W20-003</t>
        </is>
      </c>
      <c r="B6" s="25" t="inlineStr">
        <is>
          <t>W20</t>
        </is>
      </c>
      <c r="C6" s="6" t="inlineStr">
        <is>
          <t>Wishlist'e ekle</t>
        </is>
      </c>
      <c r="D6" s="6" t="inlineStr">
        <is>
          <t>—</t>
        </is>
      </c>
      <c r="E6" s="6" t="inlineStr">
        <is>
          <t>1. İstek listesi butonu</t>
        </is>
      </c>
      <c r="F6" s="6" t="inlineStr">
        <is>
          <t>/wishlist'te görünür; satıcıya bilgi opsiyonel.</t>
        </is>
      </c>
      <c r="G6" s="6" t="inlineStr"/>
      <c r="H6" s="14" t="inlineStr">
        <is>
          <t>Beklemede</t>
        </is>
      </c>
      <c r="I6" s="25" t="inlineStr"/>
      <c r="J6" s="25" t="inlineStr"/>
      <c r="K6" s="25" t="inlineStr"/>
      <c r="L6" s="14" t="inlineStr">
        <is>
          <t>Orta</t>
        </is>
      </c>
      <c r="M6" s="6" t="inlineStr"/>
    </row>
    <row r="7" ht="40" customHeight="1">
      <c r="A7" s="16" t="inlineStr">
        <is>
          <t>W20-004</t>
        </is>
      </c>
      <c r="B7" s="26" t="inlineStr">
        <is>
          <t>W20</t>
        </is>
      </c>
      <c r="C7" s="18" t="inlineStr">
        <is>
          <t>Wishlist'te fiyat düşüş bildirimi</t>
        </is>
      </c>
      <c r="D7" s="18" t="inlineStr">
        <is>
          <t>Wishlist'teki ürün fiyatı düştü.</t>
        </is>
      </c>
      <c r="E7" s="18" t="inlineStr">
        <is>
          <t>1. Mail/push bekle</t>
        </is>
      </c>
      <c r="F7" s="18" t="inlineStr">
        <is>
          <t>Fiyat düştü bildirimi tetiklenir.</t>
        </is>
      </c>
      <c r="G7" s="18" t="inlineStr"/>
      <c r="H7" s="16" t="inlineStr">
        <is>
          <t>Beklemede</t>
        </is>
      </c>
      <c r="I7" s="26" t="inlineStr"/>
      <c r="J7" s="26" t="inlineStr"/>
      <c r="K7" s="26" t="inlineStr"/>
      <c r="L7" s="16" t="inlineStr">
        <is>
          <t>Orta</t>
        </is>
      </c>
      <c r="M7" s="18" t="inlineStr"/>
    </row>
    <row r="8" ht="40" customHeight="1">
      <c r="A8" s="14" t="inlineStr">
        <is>
          <t>W20-005</t>
        </is>
      </c>
      <c r="B8" s="25" t="inlineStr">
        <is>
          <t>W20</t>
        </is>
      </c>
      <c r="C8" s="6" t="inlineStr">
        <is>
          <t>Yeni koleksiyon oluştur</t>
        </is>
      </c>
      <c r="D8" s="6" t="inlineStr">
        <is>
          <t>—</t>
        </is>
      </c>
      <c r="E8" s="6" t="inlineStr">
        <is>
          <t>1. /collections aç, Yeni Koleksiyon
2. İsim, açıklama, görsel ekle, kaydet</t>
        </is>
      </c>
      <c r="F8" s="6" t="inlineStr">
        <is>
          <t>Koleksiyon oluşur; profilde görünür.</t>
        </is>
      </c>
      <c r="G8" s="6" t="inlineStr"/>
      <c r="H8" s="14" t="inlineStr">
        <is>
          <t>Beklemede</t>
        </is>
      </c>
      <c r="I8" s="25" t="inlineStr"/>
      <c r="J8" s="25" t="inlineStr"/>
      <c r="K8" s="25" t="inlineStr"/>
      <c r="L8" s="14" t="inlineStr">
        <is>
          <t>Orta</t>
        </is>
      </c>
      <c r="M8" s="6" t="inlineStr"/>
    </row>
    <row r="9" ht="40" customHeight="1">
      <c r="A9" s="16" t="inlineStr">
        <is>
          <t>W20-006</t>
        </is>
      </c>
      <c r="B9" s="26" t="inlineStr">
        <is>
          <t>W20</t>
        </is>
      </c>
      <c r="C9" s="18" t="inlineStr">
        <is>
          <t>Koleksiyona ürün ekleme</t>
        </is>
      </c>
      <c r="D9" s="18" t="inlineStr">
        <is>
          <t>—</t>
        </is>
      </c>
      <c r="E9" s="18" t="inlineStr">
        <is>
          <t>1. Koleksiyonu aç, 'Ürün Ekle'</t>
        </is>
      </c>
      <c r="F9" s="18" t="inlineStr">
        <is>
          <t>Seçilen ürünler eklenir.</t>
        </is>
      </c>
      <c r="G9" s="18" t="inlineStr"/>
      <c r="H9" s="16" t="inlineStr">
        <is>
          <t>Beklemede</t>
        </is>
      </c>
      <c r="I9" s="26" t="inlineStr"/>
      <c r="J9" s="26" t="inlineStr"/>
      <c r="K9" s="26" t="inlineStr"/>
      <c r="L9" s="16" t="inlineStr">
        <is>
          <t>Orta</t>
        </is>
      </c>
      <c r="M9" s="18" t="inlineStr"/>
    </row>
    <row r="10" ht="40" customHeight="1">
      <c r="A10" s="14" t="inlineStr">
        <is>
          <t>W20-007</t>
        </is>
      </c>
      <c r="B10" s="25" t="inlineStr">
        <is>
          <t>W20</t>
        </is>
      </c>
      <c r="C10" s="6" t="inlineStr">
        <is>
          <t>Koleksiyonu paylaş</t>
        </is>
      </c>
      <c r="D10" s="6" t="inlineStr">
        <is>
          <t>Public koleksiyon.</t>
        </is>
      </c>
      <c r="E10" s="6" t="inlineStr">
        <is>
          <t>1. Paylaş linkini kopyala</t>
        </is>
      </c>
      <c r="F10" s="6" t="inlineStr">
        <is>
          <t>Link açılınca koleksiyon görünür.</t>
        </is>
      </c>
      <c r="G10" s="6" t="inlineStr"/>
      <c r="H10" s="14" t="inlineStr">
        <is>
          <t>Beklemede</t>
        </is>
      </c>
      <c r="I10" s="25" t="inlineStr"/>
      <c r="J10" s="25" t="inlineStr"/>
      <c r="K10" s="25" t="inlineStr"/>
      <c r="L10" s="14" t="inlineStr">
        <is>
          <t>Orta</t>
        </is>
      </c>
      <c r="M10" s="6" t="inlineStr"/>
    </row>
    <row r="11" ht="40" customHeight="1">
      <c r="A11" s="16" t="inlineStr">
        <is>
          <t>W20-008</t>
        </is>
      </c>
      <c r="B11" s="26" t="inlineStr">
        <is>
          <t>W20</t>
        </is>
      </c>
      <c r="C11" s="18" t="inlineStr">
        <is>
          <t>Beğendiğim koleksiyonlar</t>
        </is>
      </c>
      <c r="D11" s="18" t="inlineStr">
        <is>
          <t>Başkalarının kol. beğenildi.</t>
        </is>
      </c>
      <c r="E11" s="18" t="inlineStr">
        <is>
          <t>1. /collections/liked aç</t>
        </is>
      </c>
      <c r="F11" s="18" t="inlineStr">
        <is>
          <t>Beğenilenler listelenir.</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W21 — Üyelik Planları</t>
        </is>
      </c>
    </row>
    <row r="2" ht="28" customHeight="1">
      <c r="A2" s="24" t="inlineStr">
        <is>
          <t>Plan seçimi, satın alma, yenileme, iptal, downgrade.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W21-001</t>
        </is>
      </c>
      <c r="B4" s="25" t="inlineStr">
        <is>
          <t>W21</t>
        </is>
      </c>
      <c r="C4" s="6" t="inlineStr">
        <is>
          <t>Üyelik planları sayfası</t>
        </is>
      </c>
      <c r="D4" s="6" t="inlineStr">
        <is>
          <t>—</t>
        </is>
      </c>
      <c r="E4" s="6" t="inlineStr">
        <is>
          <t>1. /pricing aç</t>
        </is>
      </c>
      <c r="F4" s="6" t="inlineStr">
        <is>
          <t>Free / Basic / Premium / Business kartları, özellikler tablosu görünür.</t>
        </is>
      </c>
      <c r="G4" s="6" t="inlineStr"/>
      <c r="H4" s="14" t="inlineStr">
        <is>
          <t>Beklemede</t>
        </is>
      </c>
      <c r="I4" s="25" t="inlineStr"/>
      <c r="J4" s="25" t="inlineStr"/>
      <c r="K4" s="25" t="inlineStr"/>
      <c r="L4" s="14" t="inlineStr">
        <is>
          <t>Orta</t>
        </is>
      </c>
      <c r="M4" s="6" t="inlineStr"/>
    </row>
    <row r="5" ht="48" customHeight="1">
      <c r="A5" s="16" t="inlineStr">
        <is>
          <t>W21-002</t>
        </is>
      </c>
      <c r="B5" s="26" t="inlineStr">
        <is>
          <t>W21</t>
        </is>
      </c>
      <c r="C5" s="18" t="inlineStr">
        <is>
          <t>Plan satın alma</t>
        </is>
      </c>
      <c r="D5" s="18" t="inlineStr">
        <is>
          <t>Üye giriş.</t>
        </is>
      </c>
      <c r="E5" s="18" t="inlineStr">
        <is>
          <t>1. Premium 'Seç'e bas
2. /membership/checkout aç
3. PayTR ile öde</t>
        </is>
      </c>
      <c r="F5" s="18" t="inlineStr">
        <is>
          <t>Üyelik aktif; başarı sayfası; mail.</t>
        </is>
      </c>
      <c r="G5" s="18" t="inlineStr"/>
      <c r="H5" s="16" t="inlineStr">
        <is>
          <t>Beklemede</t>
        </is>
      </c>
      <c r="I5" s="26" t="inlineStr"/>
      <c r="J5" s="26" t="inlineStr"/>
      <c r="K5" s="26" t="inlineStr"/>
      <c r="L5" s="16" t="inlineStr">
        <is>
          <t>Kritik</t>
        </is>
      </c>
      <c r="M5" s="18" t="inlineStr"/>
    </row>
    <row r="6" ht="40" customHeight="1">
      <c r="A6" s="14" t="inlineStr">
        <is>
          <t>W21-003</t>
        </is>
      </c>
      <c r="B6" s="25" t="inlineStr">
        <is>
          <t>W21</t>
        </is>
      </c>
      <c r="C6" s="6" t="inlineStr">
        <is>
          <t>Üyelik avantajları yansıması</t>
        </is>
      </c>
      <c r="D6" s="6" t="inlineStr">
        <is>
          <t>Premium aktif.</t>
        </is>
      </c>
      <c r="E6" s="6" t="inlineStr">
        <is>
          <t>1. İlanlar, ödemeler kontrol</t>
        </is>
      </c>
      <c r="F6" s="6" t="inlineStr">
        <is>
          <t>Komisyon oranı düşer, ilan limiti artar, featured imkan açılır.</t>
        </is>
      </c>
      <c r="G6" s="6" t="inlineStr"/>
      <c r="H6" s="14" t="inlineStr">
        <is>
          <t>Beklemede</t>
        </is>
      </c>
      <c r="I6" s="25" t="inlineStr"/>
      <c r="J6" s="25" t="inlineStr"/>
      <c r="K6" s="25" t="inlineStr"/>
      <c r="L6" s="14" t="inlineStr">
        <is>
          <t>Orta</t>
        </is>
      </c>
      <c r="M6" s="6" t="inlineStr"/>
    </row>
    <row r="7" ht="40" customHeight="1">
      <c r="A7" s="16" t="inlineStr">
        <is>
          <t>W21-004</t>
        </is>
      </c>
      <c r="B7" s="26" t="inlineStr">
        <is>
          <t>W21</t>
        </is>
      </c>
      <c r="C7" s="18" t="inlineStr">
        <is>
          <t>Yenileme uyarısı (7 gün kala)</t>
        </is>
      </c>
      <c r="D7" s="18" t="inlineStr">
        <is>
          <t>Premium 7 gün sonra bitiyor.</t>
        </is>
      </c>
      <c r="E7" s="18" t="inlineStr">
        <is>
          <t>1. Cron'u bekle</t>
        </is>
      </c>
      <c r="F7" s="18" t="inlineStr">
        <is>
          <t>Mail + in-app uyarı.</t>
        </is>
      </c>
      <c r="G7" s="18" t="inlineStr"/>
      <c r="H7" s="16" t="inlineStr">
        <is>
          <t>Beklemede</t>
        </is>
      </c>
      <c r="I7" s="26" t="inlineStr"/>
      <c r="J7" s="26" t="inlineStr"/>
      <c r="K7" s="26" t="inlineStr"/>
      <c r="L7" s="16" t="inlineStr">
        <is>
          <t>Orta</t>
        </is>
      </c>
      <c r="M7" s="18" t="inlineStr"/>
    </row>
    <row r="8" ht="40" customHeight="1">
      <c r="A8" s="14" t="inlineStr">
        <is>
          <t>W21-005</t>
        </is>
      </c>
      <c r="B8" s="25" t="inlineStr">
        <is>
          <t>W21</t>
        </is>
      </c>
      <c r="C8" s="6" t="inlineStr">
        <is>
          <t>Yenileme uyarısı (1 gün kala)</t>
        </is>
      </c>
      <c r="D8" s="6" t="inlineStr">
        <is>
          <t>1 gün kaldı.</t>
        </is>
      </c>
      <c r="E8" s="6" t="inlineStr">
        <is>
          <t>1. Cron'u bekle</t>
        </is>
      </c>
      <c r="F8" s="6" t="inlineStr">
        <is>
          <t>Acil yenileme maili.</t>
        </is>
      </c>
      <c r="G8" s="6" t="inlineStr"/>
      <c r="H8" s="14" t="inlineStr">
        <is>
          <t>Beklemede</t>
        </is>
      </c>
      <c r="I8" s="25" t="inlineStr"/>
      <c r="J8" s="25" t="inlineStr"/>
      <c r="K8" s="25" t="inlineStr"/>
      <c r="L8" s="14" t="inlineStr">
        <is>
          <t>Orta</t>
        </is>
      </c>
      <c r="M8" s="6" t="inlineStr"/>
    </row>
    <row r="9" ht="40" customHeight="1">
      <c r="A9" s="16" t="inlineStr">
        <is>
          <t>W21-006</t>
        </is>
      </c>
      <c r="B9" s="26" t="inlineStr">
        <is>
          <t>W21</t>
        </is>
      </c>
      <c r="C9" s="18" t="inlineStr">
        <is>
          <t>Üyelik iptal</t>
        </is>
      </c>
      <c r="D9" s="18" t="inlineStr">
        <is>
          <t>Aktif üyelik.</t>
        </is>
      </c>
      <c r="E9" s="18" t="inlineStr">
        <is>
          <t>1. /membership/manage → İptal</t>
        </is>
      </c>
      <c r="F9" s="18" t="inlineStr">
        <is>
          <t>Mevcut periyot sonuna kadar aktif; yenileme yok; mail.</t>
        </is>
      </c>
      <c r="G9" s="18" t="inlineStr"/>
      <c r="H9" s="16" t="inlineStr">
        <is>
          <t>Beklemede</t>
        </is>
      </c>
      <c r="I9" s="26" t="inlineStr"/>
      <c r="J9" s="26" t="inlineStr"/>
      <c r="K9" s="26" t="inlineStr"/>
      <c r="L9" s="16" t="inlineStr">
        <is>
          <t>Orta</t>
        </is>
      </c>
      <c r="M9" s="18" t="inlineStr"/>
    </row>
    <row r="10" ht="40" customHeight="1">
      <c r="A10" s="14" t="inlineStr">
        <is>
          <t>W21-007</t>
        </is>
      </c>
      <c r="B10" s="25" t="inlineStr">
        <is>
          <t>W21</t>
        </is>
      </c>
      <c r="C10" s="6" t="inlineStr">
        <is>
          <t>Üyelik bitti — otomatik downgrade</t>
        </is>
      </c>
      <c r="D10" s="6" t="inlineStr">
        <is>
          <t>Periyot doldu.</t>
        </is>
      </c>
      <c r="E10" s="6" t="inlineStr">
        <is>
          <t>1. —</t>
        </is>
      </c>
      <c r="F10" s="6" t="inlineStr">
        <is>
          <t>Free tier'a düşer; ilan limiti uygulanır; mail.</t>
        </is>
      </c>
      <c r="G10" s="6" t="inlineStr"/>
      <c r="H10" s="14" t="inlineStr">
        <is>
          <t>Beklemede</t>
        </is>
      </c>
      <c r="I10" s="25" t="inlineStr"/>
      <c r="J10" s="25" t="inlineStr"/>
      <c r="K10" s="25" t="inlineStr"/>
      <c r="L10" s="14" t="inlineStr">
        <is>
          <t>Orta</t>
        </is>
      </c>
      <c r="M10" s="6" t="inlineStr"/>
    </row>
    <row r="11" ht="40" customHeight="1">
      <c r="A11" s="16" t="inlineStr">
        <is>
          <t>W21-008</t>
        </is>
      </c>
      <c r="B11" s="26" t="inlineStr">
        <is>
          <t>W21</t>
        </is>
      </c>
      <c r="C11" s="18" t="inlineStr">
        <is>
          <t>Yıllık plan ile ödeme</t>
        </is>
      </c>
      <c r="D11" s="18" t="inlineStr">
        <is>
          <t>Yıllık seçenek.</t>
        </is>
      </c>
      <c r="E11" s="18" t="inlineStr">
        <is>
          <t>1. Yıllık 'Seç', öde</t>
        </is>
      </c>
      <c r="F11" s="18" t="inlineStr">
        <is>
          <t>İndirimli yıllık fiyat uygulanır; periyot 1 yıl.</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W22 — Statik ve Yasal Sayfalar</t>
        </is>
      </c>
    </row>
    <row r="2" ht="28" customHeight="1">
      <c r="A2" s="24" t="inlineStr">
        <is>
          <t>KVKK, gizlilik, mesafeli satış, kargo politikası, FAQ vs.</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W22-001</t>
        </is>
      </c>
      <c r="B4" s="25" t="inlineStr">
        <is>
          <t>W22</t>
        </is>
      </c>
      <c r="C4" s="6" t="inlineStr">
        <is>
          <t>Gizlilik politikası</t>
        </is>
      </c>
      <c r="D4" s="6" t="inlineStr">
        <is>
          <t>—</t>
        </is>
      </c>
      <c r="E4" s="6" t="inlineStr">
        <is>
          <t>1. /privacy aç</t>
        </is>
      </c>
      <c r="F4" s="6" t="inlineStr">
        <is>
          <t>Sayfa açılır; içerik güncel.</t>
        </is>
      </c>
      <c r="G4" s="6" t="inlineStr"/>
      <c r="H4" s="14" t="inlineStr">
        <is>
          <t>Beklemede</t>
        </is>
      </c>
      <c r="I4" s="25" t="inlineStr"/>
      <c r="J4" s="25" t="inlineStr"/>
      <c r="K4" s="25" t="inlineStr"/>
      <c r="L4" s="14" t="inlineStr">
        <is>
          <t>Orta</t>
        </is>
      </c>
      <c r="M4" s="6" t="inlineStr"/>
    </row>
    <row r="5" ht="40" customHeight="1">
      <c r="A5" s="16" t="inlineStr">
        <is>
          <t>W22-002</t>
        </is>
      </c>
      <c r="B5" s="26" t="inlineStr">
        <is>
          <t>W22</t>
        </is>
      </c>
      <c r="C5" s="18" t="inlineStr">
        <is>
          <t>Kullanım şartları</t>
        </is>
      </c>
      <c r="D5" s="18" t="inlineStr">
        <is>
          <t>—</t>
        </is>
      </c>
      <c r="E5" s="18" t="inlineStr">
        <is>
          <t>1. /terms aç</t>
        </is>
      </c>
      <c r="F5" s="18" t="inlineStr">
        <is>
          <t>Sayfa açılır.</t>
        </is>
      </c>
      <c r="G5" s="18" t="inlineStr"/>
      <c r="H5" s="16" t="inlineStr">
        <is>
          <t>Beklemede</t>
        </is>
      </c>
      <c r="I5" s="26" t="inlineStr"/>
      <c r="J5" s="26" t="inlineStr"/>
      <c r="K5" s="26" t="inlineStr"/>
      <c r="L5" s="16" t="inlineStr">
        <is>
          <t>Orta</t>
        </is>
      </c>
      <c r="M5" s="18" t="inlineStr"/>
    </row>
    <row r="6" ht="40" customHeight="1">
      <c r="A6" s="14" t="inlineStr">
        <is>
          <t>W22-003</t>
        </is>
      </c>
      <c r="B6" s="25" t="inlineStr">
        <is>
          <t>W22</t>
        </is>
      </c>
      <c r="C6" s="6" t="inlineStr">
        <is>
          <t>Mesafeli satış sözleşmesi</t>
        </is>
      </c>
      <c r="D6" s="6" t="inlineStr">
        <is>
          <t>—</t>
        </is>
      </c>
      <c r="E6" s="6" t="inlineStr">
        <is>
          <t>1. /distance-sales aç</t>
        </is>
      </c>
      <c r="F6" s="6" t="inlineStr">
        <is>
          <t>Sayfa açılır; checkout'tan link çalışır.</t>
        </is>
      </c>
      <c r="G6" s="6" t="inlineStr"/>
      <c r="H6" s="14" t="inlineStr">
        <is>
          <t>Beklemede</t>
        </is>
      </c>
      <c r="I6" s="25" t="inlineStr"/>
      <c r="J6" s="25" t="inlineStr"/>
      <c r="K6" s="25" t="inlineStr"/>
      <c r="L6" s="14" t="inlineStr">
        <is>
          <t>Orta</t>
        </is>
      </c>
      <c r="M6" s="6" t="inlineStr"/>
    </row>
    <row r="7" ht="40" customHeight="1">
      <c r="A7" s="16" t="inlineStr">
        <is>
          <t>W22-004</t>
        </is>
      </c>
      <c r="B7" s="26" t="inlineStr">
        <is>
          <t>W22</t>
        </is>
      </c>
      <c r="C7" s="18" t="inlineStr">
        <is>
          <t>İade politikası</t>
        </is>
      </c>
      <c r="D7" s="18" t="inlineStr">
        <is>
          <t>—</t>
        </is>
      </c>
      <c r="E7" s="18" t="inlineStr">
        <is>
          <t>1. /refund-policy aç</t>
        </is>
      </c>
      <c r="F7" s="18" t="inlineStr">
        <is>
          <t>Sayfa açılır.</t>
        </is>
      </c>
      <c r="G7" s="18" t="inlineStr"/>
      <c r="H7" s="16" t="inlineStr">
        <is>
          <t>Beklemede</t>
        </is>
      </c>
      <c r="I7" s="26" t="inlineStr"/>
      <c r="J7" s="26" t="inlineStr"/>
      <c r="K7" s="26" t="inlineStr"/>
      <c r="L7" s="16" t="inlineStr">
        <is>
          <t>Orta</t>
        </is>
      </c>
      <c r="M7" s="18" t="inlineStr"/>
    </row>
    <row r="8" ht="40" customHeight="1">
      <c r="A8" s="14" t="inlineStr">
        <is>
          <t>W22-005</t>
        </is>
      </c>
      <c r="B8" s="25" t="inlineStr">
        <is>
          <t>W22</t>
        </is>
      </c>
      <c r="C8" s="6" t="inlineStr">
        <is>
          <t>Kargo &amp; teslimat</t>
        </is>
      </c>
      <c r="D8" s="6" t="inlineStr">
        <is>
          <t>—</t>
        </is>
      </c>
      <c r="E8" s="6" t="inlineStr">
        <is>
          <t>1. /shipping-delivery aç</t>
        </is>
      </c>
      <c r="F8" s="6" t="inlineStr">
        <is>
          <t>Sayfa açılır.</t>
        </is>
      </c>
      <c r="G8" s="6" t="inlineStr"/>
      <c r="H8" s="14" t="inlineStr">
        <is>
          <t>Beklemede</t>
        </is>
      </c>
      <c r="I8" s="25" t="inlineStr"/>
      <c r="J8" s="25" t="inlineStr"/>
      <c r="K8" s="25" t="inlineStr"/>
      <c r="L8" s="14" t="inlineStr">
        <is>
          <t>Orta</t>
        </is>
      </c>
      <c r="M8" s="6" t="inlineStr"/>
    </row>
    <row r="9" ht="40" customHeight="1">
      <c r="A9" s="16" t="inlineStr">
        <is>
          <t>W22-006</t>
        </is>
      </c>
      <c r="B9" s="26" t="inlineStr">
        <is>
          <t>W22</t>
        </is>
      </c>
      <c r="C9" s="18" t="inlineStr">
        <is>
          <t>FAQ</t>
        </is>
      </c>
      <c r="D9" s="18" t="inlineStr">
        <is>
          <t>—</t>
        </is>
      </c>
      <c r="E9" s="18" t="inlineStr">
        <is>
          <t>1. /faq aç</t>
        </is>
      </c>
      <c r="F9" s="18" t="inlineStr">
        <is>
          <t>Akordeon çalışır; kategoriler doğru.</t>
        </is>
      </c>
      <c r="G9" s="18" t="inlineStr"/>
      <c r="H9" s="16" t="inlineStr">
        <is>
          <t>Beklemede</t>
        </is>
      </c>
      <c r="I9" s="26" t="inlineStr"/>
      <c r="J9" s="26" t="inlineStr"/>
      <c r="K9" s="26" t="inlineStr"/>
      <c r="L9" s="16" t="inlineStr">
        <is>
          <t>Orta</t>
        </is>
      </c>
      <c r="M9" s="18" t="inlineStr"/>
    </row>
    <row r="10" ht="40" customHeight="1">
      <c r="A10" s="14" t="inlineStr">
        <is>
          <t>W22-007</t>
        </is>
      </c>
      <c r="B10" s="25" t="inlineStr">
        <is>
          <t>W22</t>
        </is>
      </c>
      <c r="C10" s="6" t="inlineStr">
        <is>
          <t>Çerez bildirimi banner</t>
        </is>
      </c>
      <c r="D10" s="6" t="inlineStr">
        <is>
          <t>İlk ziyaret.</t>
        </is>
      </c>
      <c r="E10" s="6" t="inlineStr">
        <is>
          <t>1. Anasayfayı aç</t>
        </is>
      </c>
      <c r="F10" s="6" t="inlineStr">
        <is>
          <t>Çerez banner görünür; kabul/red kalıcı.</t>
        </is>
      </c>
      <c r="G10" s="6" t="inlineStr"/>
      <c r="H10" s="14" t="inlineStr">
        <is>
          <t>Beklemede</t>
        </is>
      </c>
      <c r="I10" s="25" t="inlineStr"/>
      <c r="J10" s="25" t="inlineStr"/>
      <c r="K10" s="25" t="inlineStr"/>
      <c r="L10" s="14" t="inlineStr">
        <is>
          <t>Orta</t>
        </is>
      </c>
      <c r="M10" s="6" t="inlineStr"/>
    </row>
    <row r="11" ht="40" customHeight="1">
      <c r="A11" s="16" t="inlineStr">
        <is>
          <t>W22-008</t>
        </is>
      </c>
      <c r="B11" s="26" t="inlineStr">
        <is>
          <t>W22</t>
        </is>
      </c>
      <c r="C11" s="18" t="inlineStr">
        <is>
          <t>İletişim formu</t>
        </is>
      </c>
      <c r="D11" s="18" t="inlineStr">
        <is>
          <t>—</t>
        </is>
      </c>
      <c r="E11" s="18" t="inlineStr">
        <is>
          <t>1. /contact aç, formu doldur, gönder</t>
        </is>
      </c>
      <c r="F11" s="18" t="inlineStr">
        <is>
          <t>Mail tetiklenir; teşekkür mesajı.</t>
        </is>
      </c>
      <c r="G11" s="18" t="inlineStr"/>
      <c r="H11" s="16" t="inlineStr">
        <is>
          <t>Beklemede</t>
        </is>
      </c>
      <c r="I11" s="26" t="inlineStr"/>
      <c r="J11" s="26" t="inlineStr"/>
      <c r="K11" s="26" t="inlineStr"/>
      <c r="L11" s="16" t="inlineStr">
        <is>
          <t>Orta</t>
        </is>
      </c>
      <c r="M11" s="18" t="inlineStr"/>
    </row>
    <row r="12" ht="40" customHeight="1">
      <c r="A12" s="14" t="inlineStr">
        <is>
          <t>W22-009</t>
        </is>
      </c>
      <c r="B12" s="25" t="inlineStr">
        <is>
          <t>W22</t>
        </is>
      </c>
      <c r="C12" s="6" t="inlineStr">
        <is>
          <t>Newsletter aboneliği</t>
        </is>
      </c>
      <c r="D12" s="6" t="inlineStr">
        <is>
          <t>—</t>
        </is>
      </c>
      <c r="E12" s="6" t="inlineStr">
        <is>
          <t>1. /newsletter aç, e-posta gir</t>
        </is>
      </c>
      <c r="F12" s="6" t="inlineStr">
        <is>
          <t>Onay maili (double opt-in); abonelik aktif.</t>
        </is>
      </c>
      <c r="G12" s="6" t="inlineStr"/>
      <c r="H12" s="14" t="inlineStr">
        <is>
          <t>Beklemede</t>
        </is>
      </c>
      <c r="I12" s="25" t="inlineStr"/>
      <c r="J12" s="25" t="inlineStr"/>
      <c r="K12" s="25" t="inlineStr"/>
      <c r="L12" s="14" t="inlineStr">
        <is>
          <t>Orta</t>
        </is>
      </c>
      <c r="M12" s="6" t="inlineStr"/>
    </row>
    <row r="13" ht="40" customHeight="1">
      <c r="A13" s="16" t="inlineStr">
        <is>
          <t>W22-010</t>
        </is>
      </c>
      <c r="B13" s="26" t="inlineStr">
        <is>
          <t>W22</t>
        </is>
      </c>
      <c r="C13" s="18" t="inlineStr">
        <is>
          <t>Newsletter çıkış</t>
        </is>
      </c>
      <c r="D13" s="18" t="inlineStr">
        <is>
          <t>Abone.</t>
        </is>
      </c>
      <c r="E13" s="18" t="inlineStr">
        <is>
          <t>1. /newsletter/unsubscribe linki</t>
        </is>
      </c>
      <c r="F13" s="18" t="inlineStr">
        <is>
          <t>Abonelik kalkar.</t>
        </is>
      </c>
      <c r="G13" s="18" t="inlineStr"/>
      <c r="H13" s="16" t="inlineStr">
        <is>
          <t>Beklemede</t>
        </is>
      </c>
      <c r="I13" s="26" t="inlineStr"/>
      <c r="J13" s="26" t="inlineStr"/>
      <c r="K13" s="26" t="inlineStr"/>
      <c r="L13" s="16" t="inlineStr">
        <is>
          <t>Orta</t>
        </is>
      </c>
      <c r="M13" s="18" t="inlineStr"/>
    </row>
    <row r="16">
      <c r="A16" s="27" t="inlineStr">
        <is>
          <t>Bu sayfadaki tüm senaryolar test edilmiş ve sonuçlar yukarıda işaretlenmiştir.</t>
        </is>
      </c>
    </row>
    <row r="17">
      <c r="A17" s="28" t="inlineStr">
        <is>
          <t>Test Eden (Tarodan)</t>
        </is>
      </c>
      <c r="D17" s="28" t="inlineStr">
        <is>
          <t>Tarih</t>
        </is>
      </c>
      <c r="G17" s="28" t="inlineStr">
        <is>
          <t>Onaylayan (Müşteri)</t>
        </is>
      </c>
      <c r="J17" s="28" t="inlineStr">
        <is>
          <t>Tarih</t>
        </is>
      </c>
    </row>
    <row r="18">
      <c r="A18" s="7" t="n"/>
      <c r="D18" s="7" t="n"/>
      <c r="G18" s="7" t="n"/>
      <c r="J18" s="7" t="n"/>
    </row>
  </sheetData>
  <mergeCells count="7">
    <mergeCell ref="D18:E18"/>
    <mergeCell ref="A1:M1"/>
    <mergeCell ref="J18:K18"/>
    <mergeCell ref="A2:M2"/>
    <mergeCell ref="A18:B18"/>
    <mergeCell ref="G18:H18"/>
    <mergeCell ref="A16:M16"/>
  </mergeCells>
  <conditionalFormatting sqref="H4:H13">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3" showDropDown="0" showInputMessage="0" showErrorMessage="0" allowBlank="1" errorTitle="Geçersiz değer" error="Lütfen listedeki seçeneklerden birini seçin." type="list">
      <formula1>"Beklemede,Geçti,Kaldı,Bloke,Yapılamadı,N/A"</formula1>
    </dataValidation>
    <dataValidation sqref="L4:L13" showDropDown="0" showInputMessage="0" showErrorMessage="0" allowBlank="1" type="list">
      <formula1>"Kritik,Yüksek,Orta,Düşük"</formula1>
    </dataValidation>
    <dataValidation sqref="K4:K13"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W23 — Mobil Görünüm ve Responsive</t>
        </is>
      </c>
    </row>
    <row r="2" ht="28" customHeight="1">
      <c r="A2" s="24" t="inlineStr">
        <is>
          <t>Mobil tarayıcıda kritik akışlar.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W23-001</t>
        </is>
      </c>
      <c r="B4" s="25" t="inlineStr">
        <is>
          <t>W23</t>
        </is>
      </c>
      <c r="C4" s="6" t="inlineStr">
        <is>
          <t>Anasayfa mobil görünüm</t>
        </is>
      </c>
      <c r="D4" s="6" t="inlineStr">
        <is>
          <t>375px genişlik.</t>
        </is>
      </c>
      <c r="E4" s="6" t="inlineStr">
        <is>
          <t>1. Mobilde / aç</t>
        </is>
      </c>
      <c r="F4" s="6" t="inlineStr">
        <is>
          <t>Hamburger menü, hero ve carousel düzgün; horizontal scroll yok.</t>
        </is>
      </c>
      <c r="G4" s="6" t="inlineStr"/>
      <c r="H4" s="14" t="inlineStr">
        <is>
          <t>Beklemede</t>
        </is>
      </c>
      <c r="I4" s="25" t="inlineStr"/>
      <c r="J4" s="25" t="inlineStr"/>
      <c r="K4" s="25" t="inlineStr"/>
      <c r="L4" s="14" t="inlineStr">
        <is>
          <t>Orta</t>
        </is>
      </c>
      <c r="M4" s="6" t="inlineStr"/>
    </row>
    <row r="5" ht="40" customHeight="1">
      <c r="A5" s="16" t="inlineStr">
        <is>
          <t>W23-002</t>
        </is>
      </c>
      <c r="B5" s="26" t="inlineStr">
        <is>
          <t>W23</t>
        </is>
      </c>
      <c r="C5" s="18" t="inlineStr">
        <is>
          <t>Mobil menü ve arama</t>
        </is>
      </c>
      <c r="D5" s="18" t="inlineStr">
        <is>
          <t>—</t>
        </is>
      </c>
      <c r="E5" s="18" t="inlineStr">
        <is>
          <t>1. Hamburger aç, arama kullan</t>
        </is>
      </c>
      <c r="F5" s="18" t="inlineStr">
        <is>
          <t>Tüm linkler erişilebilir; arama çalışır.</t>
        </is>
      </c>
      <c r="G5" s="18" t="inlineStr"/>
      <c r="H5" s="16" t="inlineStr">
        <is>
          <t>Beklemede</t>
        </is>
      </c>
      <c r="I5" s="26" t="inlineStr"/>
      <c r="J5" s="26" t="inlineStr"/>
      <c r="K5" s="26" t="inlineStr"/>
      <c r="L5" s="16" t="inlineStr">
        <is>
          <t>Orta</t>
        </is>
      </c>
      <c r="M5" s="18" t="inlineStr"/>
    </row>
    <row r="6" ht="40" customHeight="1">
      <c r="A6" s="14" t="inlineStr">
        <is>
          <t>W23-003</t>
        </is>
      </c>
      <c r="B6" s="25" t="inlineStr">
        <is>
          <t>W23</t>
        </is>
      </c>
      <c r="C6" s="6" t="inlineStr">
        <is>
          <t>Ürün galerisi swipe</t>
        </is>
      </c>
      <c r="D6" s="6" t="inlineStr">
        <is>
          <t>—</t>
        </is>
      </c>
      <c r="E6" s="6" t="inlineStr">
        <is>
          <t>1. Ürün detayında galeri kaydır</t>
        </is>
      </c>
      <c r="F6" s="6" t="inlineStr">
        <is>
          <t>Touch swipe sorunsuz.</t>
        </is>
      </c>
      <c r="G6" s="6" t="inlineStr"/>
      <c r="H6" s="14" t="inlineStr">
        <is>
          <t>Beklemede</t>
        </is>
      </c>
      <c r="I6" s="25" t="inlineStr"/>
      <c r="J6" s="25" t="inlineStr"/>
      <c r="K6" s="25" t="inlineStr"/>
      <c r="L6" s="14" t="inlineStr">
        <is>
          <t>Orta</t>
        </is>
      </c>
      <c r="M6" s="6" t="inlineStr"/>
    </row>
    <row r="7" ht="40" customHeight="1">
      <c r="A7" s="16" t="inlineStr">
        <is>
          <t>W23-004</t>
        </is>
      </c>
      <c r="B7" s="26" t="inlineStr">
        <is>
          <t>W23</t>
        </is>
      </c>
      <c r="C7" s="18" t="inlineStr">
        <is>
          <t>Mobil checkout flow</t>
        </is>
      </c>
      <c r="D7" s="18" t="inlineStr">
        <is>
          <t>—</t>
        </is>
      </c>
      <c r="E7" s="18" t="inlineStr">
        <is>
          <t>1. Mobilde sepet → checkout → ödeme</t>
        </is>
      </c>
      <c r="F7" s="18" t="inlineStr">
        <is>
          <t>Form alanları erişilebilir; klavye uygun (numerik, e-posta).</t>
        </is>
      </c>
      <c r="G7" s="18" t="inlineStr"/>
      <c r="H7" s="16" t="inlineStr">
        <is>
          <t>Beklemede</t>
        </is>
      </c>
      <c r="I7" s="26" t="inlineStr"/>
      <c r="J7" s="26" t="inlineStr"/>
      <c r="K7" s="26" t="inlineStr"/>
      <c r="L7" s="16" t="inlineStr">
        <is>
          <t>Orta</t>
        </is>
      </c>
      <c r="M7" s="18" t="inlineStr"/>
    </row>
    <row r="8" ht="40" customHeight="1">
      <c r="A8" s="14" t="inlineStr">
        <is>
          <t>W23-005</t>
        </is>
      </c>
      <c r="B8" s="25" t="inlineStr">
        <is>
          <t>W23</t>
        </is>
      </c>
      <c r="C8" s="6" t="inlineStr">
        <is>
          <t>PayTR iframe mobil uyumu</t>
        </is>
      </c>
      <c r="D8" s="6" t="inlineStr">
        <is>
          <t>—</t>
        </is>
      </c>
      <c r="E8" s="6" t="inlineStr">
        <is>
          <t>1. Ödeme sayfasını mobilde tamamla</t>
        </is>
      </c>
      <c r="F8" s="6" t="inlineStr">
        <is>
          <t>iFrame full-width; 3D Secure çalışır.</t>
        </is>
      </c>
      <c r="G8" s="6" t="inlineStr"/>
      <c r="H8" s="14" t="inlineStr">
        <is>
          <t>Beklemede</t>
        </is>
      </c>
      <c r="I8" s="25" t="inlineStr"/>
      <c r="J8" s="25" t="inlineStr"/>
      <c r="K8" s="25" t="inlineStr"/>
      <c r="L8" s="14" t="inlineStr">
        <is>
          <t>Orta</t>
        </is>
      </c>
      <c r="M8" s="6" t="inlineStr"/>
    </row>
    <row r="9" ht="40" customHeight="1">
      <c r="A9" s="16" t="inlineStr">
        <is>
          <t>W23-006</t>
        </is>
      </c>
      <c r="B9" s="26" t="inlineStr">
        <is>
          <t>W23</t>
        </is>
      </c>
      <c r="C9" s="18" t="inlineStr">
        <is>
          <t>Tablet (iPad) görünümü</t>
        </is>
      </c>
      <c r="D9" s="18" t="inlineStr">
        <is>
          <t>768px genişlik.</t>
        </is>
      </c>
      <c r="E9" s="18" t="inlineStr">
        <is>
          <t>1. Birkaç sayfayı incele</t>
        </is>
      </c>
      <c r="F9" s="18" t="inlineStr">
        <is>
          <t>Layout uygun; grid kolon sayısı doğru.</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A01 — Admin Girişi ve Yetkilendirme</t>
        </is>
      </c>
    </row>
    <row r="2" ht="28" customHeight="1">
      <c r="A2" s="24" t="inlineStr">
        <is>
          <t>Admin login, 2FA, role-based access, oturum yönetimi.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A01-001</t>
        </is>
      </c>
      <c r="B4" s="25" t="inlineStr">
        <is>
          <t>A01</t>
        </is>
      </c>
      <c r="C4" s="6" t="inlineStr">
        <is>
          <t>Admin girişi</t>
        </is>
      </c>
      <c r="D4" s="6" t="inlineStr">
        <is>
          <t>Geçerli admin hesabı.</t>
        </is>
      </c>
      <c r="E4" s="6" t="inlineStr">
        <is>
          <t>1. admin.tarodan.shop /login aç
2. E-posta + şifre + (varsa) 2FA gir</t>
        </is>
      </c>
      <c r="F4" s="6" t="inlineStr">
        <is>
          <t>Dashboard'a yönlendirilir; menü rolüne göre filtrelenir.</t>
        </is>
      </c>
      <c r="G4" s="6" t="inlineStr"/>
      <c r="H4" s="14" t="inlineStr">
        <is>
          <t>Beklemede</t>
        </is>
      </c>
      <c r="I4" s="25" t="inlineStr"/>
      <c r="J4" s="25" t="inlineStr"/>
      <c r="K4" s="25" t="inlineStr"/>
      <c r="L4" s="14" t="inlineStr">
        <is>
          <t>Kritik</t>
        </is>
      </c>
      <c r="M4" s="6" t="inlineStr"/>
    </row>
    <row r="5" ht="40" customHeight="1">
      <c r="A5" s="16" t="inlineStr">
        <is>
          <t>A01-002</t>
        </is>
      </c>
      <c r="B5" s="26" t="inlineStr">
        <is>
          <t>A01</t>
        </is>
      </c>
      <c r="C5" s="18" t="inlineStr">
        <is>
          <t>Yanlış şifre</t>
        </is>
      </c>
      <c r="D5" s="18" t="inlineStr">
        <is>
          <t>—</t>
        </is>
      </c>
      <c r="E5" s="18" t="inlineStr">
        <is>
          <t>1. Yanlış şifre dene</t>
        </is>
      </c>
      <c r="F5" s="18" t="inlineStr">
        <is>
          <t>Hata; rate-limit; kilit eşiği uygulanır.</t>
        </is>
      </c>
      <c r="G5" s="18" t="inlineStr"/>
      <c r="H5" s="16" t="inlineStr">
        <is>
          <t>Beklemede</t>
        </is>
      </c>
      <c r="I5" s="26" t="inlineStr"/>
      <c r="J5" s="26" t="inlineStr"/>
      <c r="K5" s="26" t="inlineStr"/>
      <c r="L5" s="16" t="inlineStr">
        <is>
          <t>Orta</t>
        </is>
      </c>
      <c r="M5" s="18" t="inlineStr"/>
    </row>
    <row r="6" ht="40" customHeight="1">
      <c r="A6" s="14" t="inlineStr">
        <is>
          <t>A01-003</t>
        </is>
      </c>
      <c r="B6" s="25" t="inlineStr">
        <is>
          <t>A01</t>
        </is>
      </c>
      <c r="C6" s="6" t="inlineStr">
        <is>
          <t>Web kullanıcısının admin'e erişim denemesi</t>
        </is>
      </c>
      <c r="D6" s="6" t="inlineStr">
        <is>
          <t>Normal kullanıcı.</t>
        </is>
      </c>
      <c r="E6" s="6" t="inlineStr">
        <is>
          <t>1. admin.tarodan.shop'a git</t>
        </is>
      </c>
      <c r="F6" s="6" t="inlineStr">
        <is>
          <t>Yetkisiz hatası; girişe yönlendirme.</t>
        </is>
      </c>
      <c r="G6" s="6" t="inlineStr"/>
      <c r="H6" s="14" t="inlineStr">
        <is>
          <t>Beklemede</t>
        </is>
      </c>
      <c r="I6" s="25" t="inlineStr"/>
      <c r="J6" s="25" t="inlineStr"/>
      <c r="K6" s="25" t="inlineStr"/>
      <c r="L6" s="14" t="inlineStr">
        <is>
          <t>Orta</t>
        </is>
      </c>
      <c r="M6" s="6" t="inlineStr"/>
    </row>
    <row r="7" ht="40" customHeight="1">
      <c r="A7" s="16" t="inlineStr">
        <is>
          <t>A01-004</t>
        </is>
      </c>
      <c r="B7" s="26" t="inlineStr">
        <is>
          <t>A01</t>
        </is>
      </c>
      <c r="C7" s="18" t="inlineStr">
        <is>
          <t>Moderatör rolü ile yetkisiz endpoint denemesi</t>
        </is>
      </c>
      <c r="D7" s="18" t="inlineStr">
        <is>
          <t>Moderatör login.</t>
        </is>
      </c>
      <c r="E7" s="18" t="inlineStr">
        <is>
          <t>1. /settings sayfasına gitmeye çalış</t>
        </is>
      </c>
      <c r="F7" s="18" t="inlineStr">
        <is>
          <t>403 / sayfa bulunamadı / menüde görünmez.</t>
        </is>
      </c>
      <c r="G7" s="18" t="inlineStr"/>
      <c r="H7" s="16" t="inlineStr">
        <is>
          <t>Beklemede</t>
        </is>
      </c>
      <c r="I7" s="26" t="inlineStr"/>
      <c r="J7" s="26" t="inlineStr"/>
      <c r="K7" s="26" t="inlineStr"/>
      <c r="L7" s="16" t="inlineStr">
        <is>
          <t>Orta</t>
        </is>
      </c>
      <c r="M7" s="18" t="inlineStr"/>
    </row>
    <row r="8" ht="40" customHeight="1">
      <c r="A8" s="14" t="inlineStr">
        <is>
          <t>A01-005</t>
        </is>
      </c>
      <c r="B8" s="25" t="inlineStr">
        <is>
          <t>A01</t>
        </is>
      </c>
      <c r="C8" s="6" t="inlineStr">
        <is>
          <t>Süper admin tüm sayfalara erişim</t>
        </is>
      </c>
      <c r="D8" s="6" t="inlineStr">
        <is>
          <t>Süper admin.</t>
        </is>
      </c>
      <c r="E8" s="6" t="inlineStr">
        <is>
          <t>1. Tüm üst menü öğelerini dolaş</t>
        </is>
      </c>
      <c r="F8" s="6" t="inlineStr">
        <is>
          <t>Tüm sayfalar açılır.</t>
        </is>
      </c>
      <c r="G8" s="6" t="inlineStr"/>
      <c r="H8" s="14" t="inlineStr">
        <is>
          <t>Beklemede</t>
        </is>
      </c>
      <c r="I8" s="25" t="inlineStr"/>
      <c r="J8" s="25" t="inlineStr"/>
      <c r="K8" s="25" t="inlineStr"/>
      <c r="L8" s="14" t="inlineStr">
        <is>
          <t>Orta</t>
        </is>
      </c>
      <c r="M8" s="6" t="inlineStr"/>
    </row>
    <row r="9" ht="40" customHeight="1">
      <c r="A9" s="16" t="inlineStr">
        <is>
          <t>A01-006</t>
        </is>
      </c>
      <c r="B9" s="26" t="inlineStr">
        <is>
          <t>A01</t>
        </is>
      </c>
      <c r="C9" s="18" t="inlineStr">
        <is>
          <t>Oturum süresi dolması</t>
        </is>
      </c>
      <c r="D9" s="18" t="inlineStr">
        <is>
          <t>Inaktif 30+ dk.</t>
        </is>
      </c>
      <c r="E9" s="18" t="inlineStr">
        <is>
          <t>1. Sayfa yenile</t>
        </is>
      </c>
      <c r="F9" s="18" t="inlineStr">
        <is>
          <t>Login'e yönlendirir.</t>
        </is>
      </c>
      <c r="G9" s="18" t="inlineStr"/>
      <c r="H9" s="16" t="inlineStr">
        <is>
          <t>Beklemede</t>
        </is>
      </c>
      <c r="I9" s="26" t="inlineStr"/>
      <c r="J9" s="26" t="inlineStr"/>
      <c r="K9" s="26" t="inlineStr"/>
      <c r="L9" s="16" t="inlineStr">
        <is>
          <t>Orta</t>
        </is>
      </c>
      <c r="M9" s="18" t="inlineStr"/>
    </row>
    <row r="10" ht="40" customHeight="1">
      <c r="A10" s="14" t="inlineStr">
        <is>
          <t>A01-007</t>
        </is>
      </c>
      <c r="B10" s="25" t="inlineStr">
        <is>
          <t>A01</t>
        </is>
      </c>
      <c r="C10" s="6" t="inlineStr">
        <is>
          <t>Admin çıkış</t>
        </is>
      </c>
      <c r="D10" s="6" t="inlineStr">
        <is>
          <t>—</t>
        </is>
      </c>
      <c r="E10" s="6" t="inlineStr">
        <is>
          <t>1. Çıkış'a bas</t>
        </is>
      </c>
      <c r="F10" s="6" t="inlineStr">
        <is>
          <t>Oturum sonlanır; login sayfası.</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A02 — Dashboard, Analytics, Raporlar</t>
        </is>
      </c>
    </row>
    <row r="2" ht="28" customHeight="1">
      <c r="A2" s="24" t="inlineStr">
        <is>
          <t>İstatistik kartları, grafikler, tarih aralığı, export.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A02-001</t>
        </is>
      </c>
      <c r="B4" s="25" t="inlineStr">
        <is>
          <t>A02</t>
        </is>
      </c>
      <c r="C4" s="6" t="inlineStr">
        <is>
          <t>Dashboard kart sayıları</t>
        </is>
      </c>
      <c r="D4" s="6" t="inlineStr">
        <is>
          <t>—</t>
        </is>
      </c>
      <c r="E4" s="6" t="inlineStr">
        <is>
          <t>1. /dashboard aç</t>
        </is>
      </c>
      <c r="F4" s="6" t="inlineStr">
        <is>
          <t>Toplam satış, sipariş, kullanıcı, komisyon kartları doğru.</t>
        </is>
      </c>
      <c r="G4" s="6" t="inlineStr"/>
      <c r="H4" s="14" t="inlineStr">
        <is>
          <t>Beklemede</t>
        </is>
      </c>
      <c r="I4" s="25" t="inlineStr"/>
      <c r="J4" s="25" t="inlineStr"/>
      <c r="K4" s="25" t="inlineStr"/>
      <c r="L4" s="14" t="inlineStr">
        <is>
          <t>Yüksek</t>
        </is>
      </c>
      <c r="M4" s="6" t="inlineStr"/>
    </row>
    <row r="5" ht="40" customHeight="1">
      <c r="A5" s="16" t="inlineStr">
        <is>
          <t>A02-002</t>
        </is>
      </c>
      <c r="B5" s="26" t="inlineStr">
        <is>
          <t>A02</t>
        </is>
      </c>
      <c r="C5" s="18" t="inlineStr">
        <is>
          <t>Dönem filtresi (gün/hafta/ay/özel)</t>
        </is>
      </c>
      <c r="D5" s="18" t="inlineStr">
        <is>
          <t>—</t>
        </is>
      </c>
      <c r="E5" s="18" t="inlineStr">
        <is>
          <t>1. Dönem dropdown'undan seç</t>
        </is>
      </c>
      <c r="F5" s="18" t="inlineStr">
        <is>
          <t>Tüm metrikler ve grafikler güncellenir.</t>
        </is>
      </c>
      <c r="G5" s="18" t="inlineStr"/>
      <c r="H5" s="16" t="inlineStr">
        <is>
          <t>Beklemede</t>
        </is>
      </c>
      <c r="I5" s="26" t="inlineStr"/>
      <c r="J5" s="26" t="inlineStr"/>
      <c r="K5" s="26" t="inlineStr"/>
      <c r="L5" s="16" t="inlineStr">
        <is>
          <t>Orta</t>
        </is>
      </c>
      <c r="M5" s="18" t="inlineStr"/>
    </row>
    <row r="6" ht="40" customHeight="1">
      <c r="A6" s="14" t="inlineStr">
        <is>
          <t>A02-003</t>
        </is>
      </c>
      <c r="B6" s="25" t="inlineStr">
        <is>
          <t>A02</t>
        </is>
      </c>
      <c r="C6" s="6" t="inlineStr">
        <is>
          <t>Bekleyen işler paneli</t>
        </is>
      </c>
      <c r="D6" s="6" t="inlineStr">
        <is>
          <t>Pending ürün, sipariş, başvuru var.</t>
        </is>
      </c>
      <c r="E6" s="6" t="inlineStr">
        <is>
          <t>1. —</t>
        </is>
      </c>
      <c r="F6" s="6" t="inlineStr">
        <is>
          <t>Sayılar gerçek zamanlı; tıklayınca ilgili sayfa açılır.</t>
        </is>
      </c>
      <c r="G6" s="6" t="inlineStr"/>
      <c r="H6" s="14" t="inlineStr">
        <is>
          <t>Beklemede</t>
        </is>
      </c>
      <c r="I6" s="25" t="inlineStr"/>
      <c r="J6" s="25" t="inlineStr"/>
      <c r="K6" s="25" t="inlineStr"/>
      <c r="L6" s="14" t="inlineStr">
        <is>
          <t>Orta</t>
        </is>
      </c>
      <c r="M6" s="6" t="inlineStr"/>
    </row>
    <row r="7" ht="40" customHeight="1">
      <c r="A7" s="16" t="inlineStr">
        <is>
          <t>A02-004</t>
        </is>
      </c>
      <c r="B7" s="26" t="inlineStr">
        <is>
          <t>A02</t>
        </is>
      </c>
      <c r="C7" s="18" t="inlineStr">
        <is>
          <t>Analytics sayfası</t>
        </is>
      </c>
      <c r="D7" s="18" t="inlineStr">
        <is>
          <t>—</t>
        </is>
      </c>
      <c r="E7" s="18" t="inlineStr">
        <is>
          <t>1. /analytics aç</t>
        </is>
      </c>
      <c r="F7" s="18" t="inlineStr">
        <is>
          <t>Satış grafiği, kategori breakdown, trend görünür.</t>
        </is>
      </c>
      <c r="G7" s="18" t="inlineStr"/>
      <c r="H7" s="16" t="inlineStr">
        <is>
          <t>Beklemede</t>
        </is>
      </c>
      <c r="I7" s="26" t="inlineStr"/>
      <c r="J7" s="26" t="inlineStr"/>
      <c r="K7" s="26" t="inlineStr"/>
      <c r="L7" s="16" t="inlineStr">
        <is>
          <t>Orta</t>
        </is>
      </c>
      <c r="M7" s="18" t="inlineStr"/>
    </row>
    <row r="8" ht="40" customHeight="1">
      <c r="A8" s="14" t="inlineStr">
        <is>
          <t>A02-005</t>
        </is>
      </c>
      <c r="B8" s="25" t="inlineStr">
        <is>
          <t>A02</t>
        </is>
      </c>
      <c r="C8" s="6" t="inlineStr">
        <is>
          <t>Rapor export (CSV/Excel)</t>
        </is>
      </c>
      <c r="D8" s="6" t="inlineStr">
        <is>
          <t>—</t>
        </is>
      </c>
      <c r="E8" s="6" t="inlineStr">
        <is>
          <t>1. Export butonu</t>
        </is>
      </c>
      <c r="F8" s="6" t="inlineStr">
        <is>
          <t>İndirilen dosya açılır; tüm sütunlar doğru.</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A03 — Ürün Listesi, Detay, Onay, Yorum</t>
        </is>
      </c>
    </row>
    <row r="2" ht="28" customHeight="1">
      <c r="A2" s="24" t="inlineStr">
        <is>
          <t>Ürün moderasyonu, stok düzenleme, yorum yönetimi.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A03-001</t>
        </is>
      </c>
      <c r="B4" s="25" t="inlineStr">
        <is>
          <t>A03</t>
        </is>
      </c>
      <c r="C4" s="6" t="inlineStr">
        <is>
          <t>Ürün listesi yükleme</t>
        </is>
      </c>
      <c r="D4" s="6" t="inlineStr">
        <is>
          <t>—</t>
        </is>
      </c>
      <c r="E4" s="6" t="inlineStr">
        <is>
          <t>1. /products aç</t>
        </is>
      </c>
      <c r="F4" s="6" t="inlineStr">
        <is>
          <t>Tüm ürünler tabloda; filtre, sayfalama çalışır.</t>
        </is>
      </c>
      <c r="G4" s="6" t="inlineStr"/>
      <c r="H4" s="14" t="inlineStr">
        <is>
          <t>Beklemede</t>
        </is>
      </c>
      <c r="I4" s="25" t="inlineStr"/>
      <c r="J4" s="25" t="inlineStr"/>
      <c r="K4" s="25" t="inlineStr"/>
      <c r="L4" s="14" t="inlineStr">
        <is>
          <t>Kritik</t>
        </is>
      </c>
      <c r="M4" s="6" t="inlineStr"/>
    </row>
    <row r="5" ht="40" customHeight="1">
      <c r="A5" s="16" t="inlineStr">
        <is>
          <t>A03-002</t>
        </is>
      </c>
      <c r="B5" s="26" t="inlineStr">
        <is>
          <t>A03</t>
        </is>
      </c>
      <c r="C5" s="18" t="inlineStr">
        <is>
          <t>Pending ürünleri filtreleme</t>
        </is>
      </c>
      <c r="D5" s="18" t="inlineStr">
        <is>
          <t>—</t>
        </is>
      </c>
      <c r="E5" s="18" t="inlineStr">
        <is>
          <t>1. Durum filtresi 'Beklemede'</t>
        </is>
      </c>
      <c r="F5" s="18" t="inlineStr">
        <is>
          <t>Sadece pending'ler listelenir.</t>
        </is>
      </c>
      <c r="G5" s="18" t="inlineStr"/>
      <c r="H5" s="16" t="inlineStr">
        <is>
          <t>Beklemede</t>
        </is>
      </c>
      <c r="I5" s="26" t="inlineStr"/>
      <c r="J5" s="26" t="inlineStr"/>
      <c r="K5" s="26" t="inlineStr"/>
      <c r="L5" s="16" t="inlineStr">
        <is>
          <t>Orta</t>
        </is>
      </c>
      <c r="M5" s="18" t="inlineStr"/>
    </row>
    <row r="6" ht="40" customHeight="1">
      <c r="A6" s="14" t="inlineStr">
        <is>
          <t>A03-003</t>
        </is>
      </c>
      <c r="B6" s="25" t="inlineStr">
        <is>
          <t>A03</t>
        </is>
      </c>
      <c r="C6" s="6" t="inlineStr">
        <is>
          <t>Ürün detay görüntüleme</t>
        </is>
      </c>
      <c r="D6" s="6" t="inlineStr">
        <is>
          <t>—</t>
        </is>
      </c>
      <c r="E6" s="6" t="inlineStr">
        <is>
          <t>1. Bir ürünün detayını aç</t>
        </is>
      </c>
      <c r="F6" s="6" t="inlineStr">
        <is>
          <t>Tüm görseller, açıklama, fiyat, satıcı bilgileri görünür.</t>
        </is>
      </c>
      <c r="G6" s="6" t="inlineStr"/>
      <c r="H6" s="14" t="inlineStr">
        <is>
          <t>Beklemede</t>
        </is>
      </c>
      <c r="I6" s="25" t="inlineStr"/>
      <c r="J6" s="25" t="inlineStr"/>
      <c r="K6" s="25" t="inlineStr"/>
      <c r="L6" s="14" t="inlineStr">
        <is>
          <t>Orta</t>
        </is>
      </c>
      <c r="M6" s="6" t="inlineStr"/>
    </row>
    <row r="7" ht="40" customHeight="1">
      <c r="A7" s="16" t="inlineStr">
        <is>
          <t>A03-004</t>
        </is>
      </c>
      <c r="B7" s="26" t="inlineStr">
        <is>
          <t>A03</t>
        </is>
      </c>
      <c r="C7" s="18" t="inlineStr">
        <is>
          <t>Ürün onaylama</t>
        </is>
      </c>
      <c r="D7" s="18" t="inlineStr">
        <is>
          <t>Pending ürün.</t>
        </is>
      </c>
      <c r="E7" s="18" t="inlineStr">
        <is>
          <t>1. 'Onayla' modal, onay yaz, kaydet</t>
        </is>
      </c>
      <c r="F7" s="18" t="inlineStr">
        <is>
          <t>Status 'active'; satıcıya onay maili gider; web'de görünür.</t>
        </is>
      </c>
      <c r="G7" s="18" t="inlineStr"/>
      <c r="H7" s="16" t="inlineStr">
        <is>
          <t>Beklemede</t>
        </is>
      </c>
      <c r="I7" s="26" t="inlineStr"/>
      <c r="J7" s="26" t="inlineStr"/>
      <c r="K7" s="26" t="inlineStr"/>
      <c r="L7" s="16" t="inlineStr">
        <is>
          <t>Kritik</t>
        </is>
      </c>
      <c r="M7" s="18" t="inlineStr"/>
    </row>
    <row r="8" ht="40" customHeight="1">
      <c r="A8" s="14" t="inlineStr">
        <is>
          <t>A03-005</t>
        </is>
      </c>
      <c r="B8" s="25" t="inlineStr">
        <is>
          <t>A03</t>
        </is>
      </c>
      <c r="C8" s="6" t="inlineStr">
        <is>
          <t>Ürün reddetme (sebep zorunlu)</t>
        </is>
      </c>
      <c r="D8" s="6" t="inlineStr">
        <is>
          <t>—</t>
        </is>
      </c>
      <c r="E8" s="6" t="inlineStr">
        <is>
          <t>1. 'Reddet' modal, sebep yaz, kaydet</t>
        </is>
      </c>
      <c r="F8" s="6" t="inlineStr">
        <is>
          <t>Status 'rejected'; satıcıya sebepli mail; webde görünmez.</t>
        </is>
      </c>
      <c r="G8" s="6" t="inlineStr"/>
      <c r="H8" s="14" t="inlineStr">
        <is>
          <t>Beklemede</t>
        </is>
      </c>
      <c r="I8" s="25" t="inlineStr"/>
      <c r="J8" s="25" t="inlineStr"/>
      <c r="K8" s="25" t="inlineStr"/>
      <c r="L8" s="14" t="inlineStr">
        <is>
          <t>Kritik</t>
        </is>
      </c>
      <c r="M8" s="6" t="inlineStr"/>
    </row>
    <row r="9" ht="40" customHeight="1">
      <c r="A9" s="16" t="inlineStr">
        <is>
          <t>A03-006</t>
        </is>
      </c>
      <c r="B9" s="26" t="inlineStr">
        <is>
          <t>A03</t>
        </is>
      </c>
      <c r="C9" s="18" t="inlineStr">
        <is>
          <t>Toplu onay/red</t>
        </is>
      </c>
      <c r="D9" s="18" t="inlineStr">
        <is>
          <t>Birden fazla ürün seçili.</t>
        </is>
      </c>
      <c r="E9" s="18" t="inlineStr">
        <is>
          <t>1. Toplu Onayla'ya bas</t>
        </is>
      </c>
      <c r="F9" s="18" t="inlineStr">
        <is>
          <t>Tümü işlenir; toplu mail gönderilir.</t>
        </is>
      </c>
      <c r="G9" s="18" t="inlineStr"/>
      <c r="H9" s="16" t="inlineStr">
        <is>
          <t>Beklemede</t>
        </is>
      </c>
      <c r="I9" s="26" t="inlineStr"/>
      <c r="J9" s="26" t="inlineStr"/>
      <c r="K9" s="26" t="inlineStr"/>
      <c r="L9" s="16" t="inlineStr">
        <is>
          <t>Orta</t>
        </is>
      </c>
      <c r="M9" s="18" t="inlineStr"/>
    </row>
    <row r="10" ht="40" customHeight="1">
      <c r="A10" s="14" t="inlineStr">
        <is>
          <t>A03-007</t>
        </is>
      </c>
      <c r="B10" s="25" t="inlineStr">
        <is>
          <t>A03</t>
        </is>
      </c>
      <c r="C10" s="6" t="inlineStr">
        <is>
          <t>Ürün silme</t>
        </is>
      </c>
      <c r="D10" s="6" t="inlineStr">
        <is>
          <t>—</t>
        </is>
      </c>
      <c r="E10" s="6" t="inlineStr">
        <is>
          <t>1. Sil → onay</t>
        </is>
      </c>
      <c r="F10" s="6" t="inlineStr">
        <is>
          <t>Ürün soft-delete; satıcıya bildirim.</t>
        </is>
      </c>
      <c r="G10" s="6" t="inlineStr"/>
      <c r="H10" s="14" t="inlineStr">
        <is>
          <t>Beklemede</t>
        </is>
      </c>
      <c r="I10" s="25" t="inlineStr"/>
      <c r="J10" s="25" t="inlineStr"/>
      <c r="K10" s="25" t="inlineStr"/>
      <c r="L10" s="14" t="inlineStr">
        <is>
          <t>Orta</t>
        </is>
      </c>
      <c r="M10" s="6" t="inlineStr"/>
    </row>
    <row r="11" ht="40" customHeight="1">
      <c r="A11" s="16" t="inlineStr">
        <is>
          <t>A03-008</t>
        </is>
      </c>
      <c r="B11" s="26" t="inlineStr">
        <is>
          <t>A03</t>
        </is>
      </c>
      <c r="C11" s="18" t="inlineStr">
        <is>
          <t>Yorum onaylama / silme</t>
        </is>
      </c>
      <c r="D11" s="18" t="inlineStr">
        <is>
          <t>Pending yorum.</t>
        </is>
      </c>
      <c r="E11" s="18" t="inlineStr">
        <is>
          <t>1. Yorum tab → onayla / sil</t>
        </is>
      </c>
      <c r="F11" s="18" t="inlineStr">
        <is>
          <t>Yorum görünür / kalkar; alıcıya bildirim.</t>
        </is>
      </c>
      <c r="G11" s="18" t="inlineStr"/>
      <c r="H11" s="16" t="inlineStr">
        <is>
          <t>Beklemede</t>
        </is>
      </c>
      <c r="I11" s="26" t="inlineStr"/>
      <c r="J11" s="26" t="inlineStr"/>
      <c r="K11" s="26" t="inlineStr"/>
      <c r="L11" s="16" t="inlineStr">
        <is>
          <t>Orta</t>
        </is>
      </c>
      <c r="M11" s="18" t="inlineStr"/>
    </row>
    <row r="12" ht="40" customHeight="1">
      <c r="A12" s="14" t="inlineStr">
        <is>
          <t>A03-009</t>
        </is>
      </c>
      <c r="B12" s="25" t="inlineStr">
        <is>
          <t>A03</t>
        </is>
      </c>
      <c r="C12" s="6" t="inlineStr">
        <is>
          <t>Admin yorum yanıtı</t>
        </is>
      </c>
      <c r="D12" s="6" t="inlineStr">
        <is>
          <t>—</t>
        </is>
      </c>
      <c r="E12" s="6" t="inlineStr">
        <is>
          <t>1. Yorum altına admin yanıt yaz</t>
        </is>
      </c>
      <c r="F12" s="6" t="inlineStr">
        <is>
          <t>Yorumun altında 'Tarodan' cevabı görünür.</t>
        </is>
      </c>
      <c r="G12" s="6" t="inlineStr"/>
      <c r="H12" s="14" t="inlineStr">
        <is>
          <t>Beklemede</t>
        </is>
      </c>
      <c r="I12" s="25" t="inlineStr"/>
      <c r="J12" s="25" t="inlineStr"/>
      <c r="K12" s="25" t="inlineStr"/>
      <c r="L12" s="14" t="inlineStr">
        <is>
          <t>Orta</t>
        </is>
      </c>
      <c r="M12" s="6" t="inlineStr"/>
    </row>
    <row r="13" ht="40" customHeight="1">
      <c r="A13" s="16" t="inlineStr">
        <is>
          <t>A03-010</t>
        </is>
      </c>
      <c r="B13" s="26" t="inlineStr">
        <is>
          <t>A03</t>
        </is>
      </c>
      <c r="C13" s="18" t="inlineStr">
        <is>
          <t>Stok düzenleme</t>
        </is>
      </c>
      <c r="D13" s="18" t="inlineStr">
        <is>
          <t>—</t>
        </is>
      </c>
      <c r="E13" s="18" t="inlineStr">
        <is>
          <t>1. Ürün detayında quantity değiştir</t>
        </is>
      </c>
      <c r="F13" s="18" t="inlineStr">
        <is>
          <t>Stok güncellenir; audit log düşer.</t>
        </is>
      </c>
      <c r="G13" s="18" t="inlineStr"/>
      <c r="H13" s="16" t="inlineStr">
        <is>
          <t>Beklemede</t>
        </is>
      </c>
      <c r="I13" s="26" t="inlineStr"/>
      <c r="J13" s="26" t="inlineStr"/>
      <c r="K13" s="26" t="inlineStr"/>
      <c r="L13" s="16" t="inlineStr">
        <is>
          <t>Orta</t>
        </is>
      </c>
      <c r="M13" s="18" t="inlineStr"/>
    </row>
    <row r="16">
      <c r="A16" s="27" t="inlineStr">
        <is>
          <t>Bu sayfadaki tüm senaryolar test edilmiş ve sonuçlar yukarıda işaretlenmiştir.</t>
        </is>
      </c>
    </row>
    <row r="17">
      <c r="A17" s="28" t="inlineStr">
        <is>
          <t>Test Eden (Tarodan)</t>
        </is>
      </c>
      <c r="D17" s="28" t="inlineStr">
        <is>
          <t>Tarih</t>
        </is>
      </c>
      <c r="G17" s="28" t="inlineStr">
        <is>
          <t>Onaylayan (Müşteri)</t>
        </is>
      </c>
      <c r="J17" s="28" t="inlineStr">
        <is>
          <t>Tarih</t>
        </is>
      </c>
    </row>
    <row r="18">
      <c r="A18" s="7" t="n"/>
      <c r="D18" s="7" t="n"/>
      <c r="G18" s="7" t="n"/>
      <c r="J18" s="7" t="n"/>
    </row>
  </sheetData>
  <mergeCells count="7">
    <mergeCell ref="D18:E18"/>
    <mergeCell ref="A1:M1"/>
    <mergeCell ref="J18:K18"/>
    <mergeCell ref="A2:M2"/>
    <mergeCell ref="A18:B18"/>
    <mergeCell ref="G18:H18"/>
    <mergeCell ref="A16:M16"/>
  </mergeCells>
  <conditionalFormatting sqref="H4:H13">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3" showDropDown="0" showInputMessage="0" showErrorMessage="0" allowBlank="1" errorTitle="Geçersiz değer" error="Lütfen listedeki seçeneklerden birini seçin." type="list">
      <formula1>"Beklemede,Geçti,Kaldı,Bloke,Yapılamadı,N/A"</formula1>
    </dataValidation>
    <dataValidation sqref="L4:L13" showDropDown="0" showInputMessage="0" showErrorMessage="0" allowBlank="1" type="list">
      <formula1>"Kritik,Yüksek,Orta,Düşük"</formula1>
    </dataValidation>
    <dataValidation sqref="K4:K13"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A04 — Kategori, Marka, Attribute, Tag, Üretici, Model</t>
        </is>
      </c>
    </row>
    <row r="2" ht="28" customHeight="1">
      <c r="A2" s="24" t="inlineStr">
        <is>
          <t>Master data CRUD işlemleri.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A04-001</t>
        </is>
      </c>
      <c r="B4" s="25" t="inlineStr">
        <is>
          <t>A04</t>
        </is>
      </c>
      <c r="C4" s="6" t="inlineStr">
        <is>
          <t>Kategori CRUD</t>
        </is>
      </c>
      <c r="D4" s="6" t="inlineStr">
        <is>
          <t>—</t>
        </is>
      </c>
      <c r="E4" s="6" t="inlineStr">
        <is>
          <t>1. /categories aç, ekle, düzenle, sil</t>
        </is>
      </c>
      <c r="F4" s="6" t="inlineStr">
        <is>
          <t>Tüm CRUD çalışır; ağaç yapı korunur.</t>
        </is>
      </c>
      <c r="G4" s="6" t="inlineStr"/>
      <c r="H4" s="14" t="inlineStr">
        <is>
          <t>Beklemede</t>
        </is>
      </c>
      <c r="I4" s="25" t="inlineStr"/>
      <c r="J4" s="25" t="inlineStr"/>
      <c r="K4" s="25" t="inlineStr"/>
      <c r="L4" s="14" t="inlineStr">
        <is>
          <t>Orta</t>
        </is>
      </c>
      <c r="M4" s="6" t="inlineStr"/>
    </row>
    <row r="5" ht="40" customHeight="1">
      <c r="A5" s="16" t="inlineStr">
        <is>
          <t>A04-002</t>
        </is>
      </c>
      <c r="B5" s="26" t="inlineStr">
        <is>
          <t>A04</t>
        </is>
      </c>
      <c r="C5" s="18" t="inlineStr">
        <is>
          <t>Marka CRUD ve logo yükleme</t>
        </is>
      </c>
      <c r="D5" s="18" t="inlineStr">
        <is>
          <t>—</t>
        </is>
      </c>
      <c r="E5" s="18" t="inlineStr">
        <is>
          <t>1. /brands aç, marka ekle, logo yükle</t>
        </is>
      </c>
      <c r="F5" s="18" t="inlineStr">
        <is>
          <t>Marka oluşur; logo görünür.</t>
        </is>
      </c>
      <c r="G5" s="18" t="inlineStr"/>
      <c r="H5" s="16" t="inlineStr">
        <is>
          <t>Beklemede</t>
        </is>
      </c>
      <c r="I5" s="26" t="inlineStr"/>
      <c r="J5" s="26" t="inlineStr"/>
      <c r="K5" s="26" t="inlineStr"/>
      <c r="L5" s="16" t="inlineStr">
        <is>
          <t>Orta</t>
        </is>
      </c>
      <c r="M5" s="18" t="inlineStr"/>
    </row>
    <row r="6" ht="40" customHeight="1">
      <c r="A6" s="14" t="inlineStr">
        <is>
          <t>A04-003</t>
        </is>
      </c>
      <c r="B6" s="25" t="inlineStr">
        <is>
          <t>A04</t>
        </is>
      </c>
      <c r="C6" s="6" t="inlineStr">
        <is>
          <t>Attribute (özellik) ekleme</t>
        </is>
      </c>
      <c r="D6" s="6" t="inlineStr">
        <is>
          <t>—</t>
        </is>
      </c>
      <c r="E6" s="6" t="inlineStr">
        <is>
          <t>1. /attributes aç, yeni attribute</t>
        </is>
      </c>
      <c r="F6" s="6" t="inlineStr">
        <is>
          <t>Ürün formunda yeni alan görünür.</t>
        </is>
      </c>
      <c r="G6" s="6" t="inlineStr"/>
      <c r="H6" s="14" t="inlineStr">
        <is>
          <t>Beklemede</t>
        </is>
      </c>
      <c r="I6" s="25" t="inlineStr"/>
      <c r="J6" s="25" t="inlineStr"/>
      <c r="K6" s="25" t="inlineStr"/>
      <c r="L6" s="14" t="inlineStr">
        <is>
          <t>Orta</t>
        </is>
      </c>
      <c r="M6" s="6" t="inlineStr"/>
    </row>
    <row r="7" ht="40" customHeight="1">
      <c r="A7" s="16" t="inlineStr">
        <is>
          <t>A04-004</t>
        </is>
      </c>
      <c r="B7" s="26" t="inlineStr">
        <is>
          <t>A04</t>
        </is>
      </c>
      <c r="C7" s="18" t="inlineStr">
        <is>
          <t>Tag yönetimi</t>
        </is>
      </c>
      <c r="D7" s="18" t="inlineStr">
        <is>
          <t>—</t>
        </is>
      </c>
      <c r="E7" s="18" t="inlineStr">
        <is>
          <t>1. /tags ekle/sil</t>
        </is>
      </c>
      <c r="F7" s="18" t="inlineStr">
        <is>
          <t>Etiketler ürünlere atanabilir.</t>
        </is>
      </c>
      <c r="G7" s="18" t="inlineStr"/>
      <c r="H7" s="16" t="inlineStr">
        <is>
          <t>Beklemede</t>
        </is>
      </c>
      <c r="I7" s="26" t="inlineStr"/>
      <c r="J7" s="26" t="inlineStr"/>
      <c r="K7" s="26" t="inlineStr"/>
      <c r="L7" s="16" t="inlineStr">
        <is>
          <t>Orta</t>
        </is>
      </c>
      <c r="M7" s="18" t="inlineStr"/>
    </row>
    <row r="8" ht="40" customHeight="1">
      <c r="A8" s="14" t="inlineStr">
        <is>
          <t>A04-005</t>
        </is>
      </c>
      <c r="B8" s="25" t="inlineStr">
        <is>
          <t>A04</t>
        </is>
      </c>
      <c r="C8" s="6" t="inlineStr">
        <is>
          <t>Üretici (manufacturer) ekleme</t>
        </is>
      </c>
      <c r="D8" s="6" t="inlineStr">
        <is>
          <t>—</t>
        </is>
      </c>
      <c r="E8" s="6" t="inlineStr">
        <is>
          <t>1. /manufacturers ekle</t>
        </is>
      </c>
      <c r="F8" s="6" t="inlineStr">
        <is>
          <t>/ureticiler/[slug] sayfası oluşur.</t>
        </is>
      </c>
      <c r="G8" s="6" t="inlineStr"/>
      <c r="H8" s="14" t="inlineStr">
        <is>
          <t>Beklemede</t>
        </is>
      </c>
      <c r="I8" s="25" t="inlineStr"/>
      <c r="J8" s="25" t="inlineStr"/>
      <c r="K8" s="25" t="inlineStr"/>
      <c r="L8" s="14" t="inlineStr">
        <is>
          <t>Orta</t>
        </is>
      </c>
      <c r="M8" s="6" t="inlineStr"/>
    </row>
    <row r="9" ht="40" customHeight="1">
      <c r="A9" s="16" t="inlineStr">
        <is>
          <t>A04-006</t>
        </is>
      </c>
      <c r="B9" s="26" t="inlineStr">
        <is>
          <t>A04</t>
        </is>
      </c>
      <c r="C9" s="18" t="inlineStr">
        <is>
          <t>Otomobil modeli</t>
        </is>
      </c>
      <c r="D9" s="18" t="inlineStr">
        <is>
          <t>—</t>
        </is>
      </c>
      <c r="E9" s="18" t="inlineStr">
        <is>
          <t>1. /car-models ekle</t>
        </is>
      </c>
      <c r="F9" s="18" t="inlineStr">
        <is>
          <t>/models/[slug] oluşur.</t>
        </is>
      </c>
      <c r="G9" s="18" t="inlineStr"/>
      <c r="H9" s="16" t="inlineStr">
        <is>
          <t>Beklemede</t>
        </is>
      </c>
      <c r="I9" s="26" t="inlineStr"/>
      <c r="J9" s="26" t="inlineStr"/>
      <c r="K9" s="26" t="inlineStr"/>
      <c r="L9" s="16" t="inlineStr">
        <is>
          <t>Orta</t>
        </is>
      </c>
      <c r="M9" s="18" t="inlineStr"/>
    </row>
    <row r="10" ht="40" customHeight="1">
      <c r="A10" s="14" t="inlineStr">
        <is>
          <t>A04-007</t>
        </is>
      </c>
      <c r="B10" s="25" t="inlineStr">
        <is>
          <t>A04</t>
        </is>
      </c>
      <c r="C10" s="6" t="inlineStr">
        <is>
          <t>Koleksiyon oluşturma (admin)</t>
        </is>
      </c>
      <c r="D10" s="6" t="inlineStr">
        <is>
          <t>—</t>
        </is>
      </c>
      <c r="E10" s="6" t="inlineStr">
        <is>
          <t>1. /collections (admin) aç, koleksiyon yarat, ürün seç</t>
        </is>
      </c>
      <c r="F10" s="6" t="inlineStr">
        <is>
          <t>Anasayfada featured görünür.</t>
        </is>
      </c>
      <c r="G10" s="6" t="inlineStr"/>
      <c r="H10" s="14" t="inlineStr">
        <is>
          <t>Beklemede</t>
        </is>
      </c>
      <c r="I10" s="25" t="inlineStr"/>
      <c r="J10" s="25" t="inlineStr"/>
      <c r="K10" s="25" t="inlineStr"/>
      <c r="L10" s="14" t="inlineStr">
        <is>
          <t>Orta</t>
        </is>
      </c>
      <c r="M10" s="6" t="inlineStr"/>
    </row>
    <row r="11" ht="40" customHeight="1">
      <c r="A11" s="16" t="inlineStr">
        <is>
          <t>A04-008</t>
        </is>
      </c>
      <c r="B11" s="26" t="inlineStr">
        <is>
          <t>A04</t>
        </is>
      </c>
      <c r="C11" s="18" t="inlineStr">
        <is>
          <t>CMS sayfa düzenleme</t>
        </is>
      </c>
      <c r="D11" s="18" t="inlineStr">
        <is>
          <t>—</t>
        </is>
      </c>
      <c r="E11" s="18" t="inlineStr">
        <is>
          <t>1. /pages aç, gizlilik metnini güncelle</t>
        </is>
      </c>
      <c r="F11" s="18" t="inlineStr">
        <is>
          <t>Web tarafında /privacy güncellenmiş içerik gösterir.</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A05 — Admin: Sipariş Listesi ve İşlemler</t>
        </is>
      </c>
    </row>
    <row r="2" ht="28" customHeight="1">
      <c r="A2" s="24" t="inlineStr">
        <is>
          <t>Sipariş arama, filtre, durum güncelleme, kargo, fatura, manuel bildirim.</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A05-001</t>
        </is>
      </c>
      <c r="B4" s="25" t="inlineStr">
        <is>
          <t>A05</t>
        </is>
      </c>
      <c r="C4" s="6" t="inlineStr">
        <is>
          <t>Sipariş listesi</t>
        </is>
      </c>
      <c r="D4" s="6" t="inlineStr">
        <is>
          <t>—</t>
        </is>
      </c>
      <c r="E4" s="6" t="inlineStr">
        <is>
          <t>1. /orders aç</t>
        </is>
      </c>
      <c r="F4" s="6" t="inlineStr">
        <is>
          <t>Tüm siparişler; filtre/arama çalışır.</t>
        </is>
      </c>
      <c r="G4" s="6" t="inlineStr"/>
      <c r="H4" s="14" t="inlineStr">
        <is>
          <t>Beklemede</t>
        </is>
      </c>
      <c r="I4" s="25" t="inlineStr"/>
      <c r="J4" s="25" t="inlineStr"/>
      <c r="K4" s="25" t="inlineStr"/>
      <c r="L4" s="14" t="inlineStr">
        <is>
          <t>Kritik</t>
        </is>
      </c>
      <c r="M4" s="6" t="inlineStr"/>
    </row>
    <row r="5" ht="40" customHeight="1">
      <c r="A5" s="16" t="inlineStr">
        <is>
          <t>A05-002</t>
        </is>
      </c>
      <c r="B5" s="26" t="inlineStr">
        <is>
          <t>A05</t>
        </is>
      </c>
      <c r="C5" s="18" t="inlineStr">
        <is>
          <t>Sipariş arama (no, alıcı)</t>
        </is>
      </c>
      <c r="D5" s="18" t="inlineStr">
        <is>
          <t>—</t>
        </is>
      </c>
      <c r="E5" s="18" t="inlineStr">
        <is>
          <t>1. Arama kutusunu kullan</t>
        </is>
      </c>
      <c r="F5" s="18" t="inlineStr">
        <is>
          <t>Doğru sonuçlar.</t>
        </is>
      </c>
      <c r="G5" s="18" t="inlineStr"/>
      <c r="H5" s="16" t="inlineStr">
        <is>
          <t>Beklemede</t>
        </is>
      </c>
      <c r="I5" s="26" t="inlineStr"/>
      <c r="J5" s="26" t="inlineStr"/>
      <c r="K5" s="26" t="inlineStr"/>
      <c r="L5" s="16" t="inlineStr">
        <is>
          <t>Orta</t>
        </is>
      </c>
      <c r="M5" s="18" t="inlineStr"/>
    </row>
    <row r="6" ht="40" customHeight="1">
      <c r="A6" s="14" t="inlineStr">
        <is>
          <t>A05-003</t>
        </is>
      </c>
      <c r="B6" s="25" t="inlineStr">
        <is>
          <t>A05</t>
        </is>
      </c>
      <c r="C6" s="6" t="inlineStr">
        <is>
          <t>Sipariş detay açma</t>
        </is>
      </c>
      <c r="D6" s="6" t="inlineStr">
        <is>
          <t>—</t>
        </is>
      </c>
      <c r="E6" s="6" t="inlineStr">
        <is>
          <t>1. /orders/[id] aç</t>
        </is>
      </c>
      <c r="F6" s="6" t="inlineStr">
        <is>
          <t>Tüm bilgiler; alıcı/satıcı linkleri.</t>
        </is>
      </c>
      <c r="G6" s="6" t="inlineStr"/>
      <c r="H6" s="14" t="inlineStr">
        <is>
          <t>Beklemede</t>
        </is>
      </c>
      <c r="I6" s="25" t="inlineStr"/>
      <c r="J6" s="25" t="inlineStr"/>
      <c r="K6" s="25" t="inlineStr"/>
      <c r="L6" s="14" t="inlineStr">
        <is>
          <t>Orta</t>
        </is>
      </c>
      <c r="M6" s="6" t="inlineStr"/>
    </row>
    <row r="7" ht="40" customHeight="1">
      <c r="A7" s="16" t="inlineStr">
        <is>
          <t>A05-004</t>
        </is>
      </c>
      <c r="B7" s="26" t="inlineStr">
        <is>
          <t>A05</t>
        </is>
      </c>
      <c r="C7" s="18" t="inlineStr">
        <is>
          <t>Manuel durum güncelleme</t>
        </is>
      </c>
      <c r="D7" s="18" t="inlineStr">
        <is>
          <t>—</t>
        </is>
      </c>
      <c r="E7" s="18" t="inlineStr">
        <is>
          <t>1. Durum dropdown değiştir, kaydet</t>
        </is>
      </c>
      <c r="F7" s="18" t="inlineStr">
        <is>
          <t>Status değişir; ilgili otomatik bildirimler tetiklenir.</t>
        </is>
      </c>
      <c r="G7" s="18" t="inlineStr"/>
      <c r="H7" s="16" t="inlineStr">
        <is>
          <t>Beklemede</t>
        </is>
      </c>
      <c r="I7" s="26" t="inlineStr"/>
      <c r="J7" s="26" t="inlineStr"/>
      <c r="K7" s="26" t="inlineStr"/>
      <c r="L7" s="16" t="inlineStr">
        <is>
          <t>Yüksek</t>
        </is>
      </c>
      <c r="M7" s="18" t="inlineStr"/>
    </row>
    <row r="8" ht="40" customHeight="1">
      <c r="A8" s="14" t="inlineStr">
        <is>
          <t>A05-005</t>
        </is>
      </c>
      <c r="B8" s="25" t="inlineStr">
        <is>
          <t>A05</t>
        </is>
      </c>
      <c r="C8" s="6" t="inlineStr">
        <is>
          <t>Manuel kargo bilgisi girişi</t>
        </is>
      </c>
      <c r="D8" s="6" t="inlineStr">
        <is>
          <t>—</t>
        </is>
      </c>
      <c r="E8" s="6" t="inlineStr">
        <is>
          <t>1. Kargo modalı → firma + tracking gir</t>
        </is>
      </c>
      <c r="F8" s="6" t="inlineStr">
        <is>
          <t>Alıcıya tracking maili.</t>
        </is>
      </c>
      <c r="G8" s="6" t="inlineStr"/>
      <c r="H8" s="14" t="inlineStr">
        <is>
          <t>Beklemede</t>
        </is>
      </c>
      <c r="I8" s="25" t="inlineStr"/>
      <c r="J8" s="25" t="inlineStr"/>
      <c r="K8" s="25" t="inlineStr"/>
      <c r="L8" s="14" t="inlineStr">
        <is>
          <t>Orta</t>
        </is>
      </c>
      <c r="M8" s="6" t="inlineStr"/>
    </row>
    <row r="9" ht="40" customHeight="1">
      <c r="A9" s="16" t="inlineStr">
        <is>
          <t>A05-006</t>
        </is>
      </c>
      <c r="B9" s="26" t="inlineStr">
        <is>
          <t>A05</t>
        </is>
      </c>
      <c r="C9" s="18" t="inlineStr">
        <is>
          <t>Fatura yazdırma / indirme</t>
        </is>
      </c>
      <c r="D9" s="18" t="inlineStr">
        <is>
          <t>—</t>
        </is>
      </c>
      <c r="E9" s="18" t="inlineStr">
        <is>
          <t>1. Fatura PDF butonu</t>
        </is>
      </c>
      <c r="F9" s="18" t="inlineStr">
        <is>
          <t>PDF indirilir; vergi bilgileri doğru.</t>
        </is>
      </c>
      <c r="G9" s="18" t="inlineStr"/>
      <c r="H9" s="16" t="inlineStr">
        <is>
          <t>Beklemede</t>
        </is>
      </c>
      <c r="I9" s="26" t="inlineStr"/>
      <c r="J9" s="26" t="inlineStr"/>
      <c r="K9" s="26" t="inlineStr"/>
      <c r="L9" s="16" t="inlineStr">
        <is>
          <t>Orta</t>
        </is>
      </c>
      <c r="M9" s="18" t="inlineStr"/>
    </row>
    <row r="10" ht="40" customHeight="1">
      <c r="A10" s="14" t="inlineStr">
        <is>
          <t>A05-007</t>
        </is>
      </c>
      <c r="B10" s="25" t="inlineStr">
        <is>
          <t>A05</t>
        </is>
      </c>
      <c r="C10" s="6" t="inlineStr">
        <is>
          <t>Manuel bildirim gönderme</t>
        </is>
      </c>
      <c r="D10" s="6" t="inlineStr">
        <is>
          <t>—</t>
        </is>
      </c>
      <c r="E10" s="6" t="inlineStr">
        <is>
          <t>1. 'Bildirim Gönder' modal, mesaj yaz, gönder</t>
        </is>
      </c>
      <c r="F10" s="6" t="inlineStr">
        <is>
          <t>Custom mail alıcıya gider.</t>
        </is>
      </c>
      <c r="G10" s="6" t="inlineStr"/>
      <c r="H10" s="14" t="inlineStr">
        <is>
          <t>Beklemede</t>
        </is>
      </c>
      <c r="I10" s="25" t="inlineStr"/>
      <c r="J10" s="25" t="inlineStr"/>
      <c r="K10" s="25" t="inlineStr"/>
      <c r="L10" s="14" t="inlineStr">
        <is>
          <t>Orta</t>
        </is>
      </c>
      <c r="M10" s="6" t="inlineStr"/>
    </row>
    <row r="11" ht="40" customHeight="1">
      <c r="A11" s="16" t="inlineStr">
        <is>
          <t>A05-008</t>
        </is>
      </c>
      <c r="B11" s="26" t="inlineStr">
        <is>
          <t>A05</t>
        </is>
      </c>
      <c r="C11" s="18" t="inlineStr">
        <is>
          <t>Komisyon ve vergi özeti</t>
        </is>
      </c>
      <c r="D11" s="18" t="inlineStr">
        <is>
          <t>—</t>
        </is>
      </c>
      <c r="E11" s="18" t="inlineStr">
        <is>
          <t>1. Sipariş detayda finansal özeti incele</t>
        </is>
      </c>
      <c r="F11" s="18" t="inlineStr">
        <is>
          <t>Subtotal, KDV, komisyon, satıcı net tutarı doğru.</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A06 — Admin: Ödeme, İade, Payout Yönetimi</t>
        </is>
      </c>
    </row>
    <row r="2" ht="28" customHeight="1">
      <c r="A2" s="24" t="inlineStr">
        <is>
          <t>Ödeme listesi, iade işlemi, satıcı payout süreçleri.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A06-001</t>
        </is>
      </c>
      <c r="B4" s="25" t="inlineStr">
        <is>
          <t>A06</t>
        </is>
      </c>
      <c r="C4" s="6" t="inlineStr">
        <is>
          <t>Ödeme listesi</t>
        </is>
      </c>
      <c r="D4" s="6" t="inlineStr">
        <is>
          <t>—</t>
        </is>
      </c>
      <c r="E4" s="6" t="inlineStr">
        <is>
          <t>1. /payments aç</t>
        </is>
      </c>
      <c r="F4" s="6" t="inlineStr">
        <is>
          <t>Tüm ödemeler durumları ile listelenir.</t>
        </is>
      </c>
      <c r="G4" s="6" t="inlineStr"/>
      <c r="H4" s="14" t="inlineStr">
        <is>
          <t>Beklemede</t>
        </is>
      </c>
      <c r="I4" s="25" t="inlineStr"/>
      <c r="J4" s="25" t="inlineStr"/>
      <c r="K4" s="25" t="inlineStr"/>
      <c r="L4" s="14" t="inlineStr">
        <is>
          <t>Orta</t>
        </is>
      </c>
      <c r="M4" s="6" t="inlineStr"/>
    </row>
    <row r="5" ht="40" customHeight="1">
      <c r="A5" s="16" t="inlineStr">
        <is>
          <t>A06-002</t>
        </is>
      </c>
      <c r="B5" s="26" t="inlineStr">
        <is>
          <t>A06</t>
        </is>
      </c>
      <c r="C5" s="18" t="inlineStr">
        <is>
          <t>Başarısız ödemeleri filtrele</t>
        </is>
      </c>
      <c r="D5" s="18" t="inlineStr">
        <is>
          <t>—</t>
        </is>
      </c>
      <c r="E5" s="18" t="inlineStr">
        <is>
          <t>1. Durum 'failed' filtresi</t>
        </is>
      </c>
      <c r="F5" s="18" t="inlineStr">
        <is>
          <t>Sadece başarısızlar.</t>
        </is>
      </c>
      <c r="G5" s="18" t="inlineStr"/>
      <c r="H5" s="16" t="inlineStr">
        <is>
          <t>Beklemede</t>
        </is>
      </c>
      <c r="I5" s="26" t="inlineStr"/>
      <c r="J5" s="26" t="inlineStr"/>
      <c r="K5" s="26" t="inlineStr"/>
      <c r="L5" s="16" t="inlineStr">
        <is>
          <t>Orta</t>
        </is>
      </c>
      <c r="M5" s="18" t="inlineStr"/>
    </row>
    <row r="6" ht="40" customHeight="1">
      <c r="A6" s="14" t="inlineStr">
        <is>
          <t>A06-003</t>
        </is>
      </c>
      <c r="B6" s="25" t="inlineStr">
        <is>
          <t>A06</t>
        </is>
      </c>
      <c r="C6" s="6" t="inlineStr">
        <is>
          <t>Ödeme detayı / reconcile</t>
        </is>
      </c>
      <c r="D6" s="6" t="inlineStr">
        <is>
          <t>—</t>
        </is>
      </c>
      <c r="E6" s="6" t="inlineStr">
        <is>
          <t>1. /payments/[id] aç</t>
        </is>
      </c>
      <c r="F6" s="6" t="inlineStr">
        <is>
          <t>Ödeme provider bilgileri, callback log; reconcile butonu.</t>
        </is>
      </c>
      <c r="G6" s="6" t="inlineStr"/>
      <c r="H6" s="14" t="inlineStr">
        <is>
          <t>Beklemede</t>
        </is>
      </c>
      <c r="I6" s="25" t="inlineStr"/>
      <c r="J6" s="25" t="inlineStr"/>
      <c r="K6" s="25" t="inlineStr"/>
      <c r="L6" s="14" t="inlineStr">
        <is>
          <t>Orta</t>
        </is>
      </c>
      <c r="M6" s="6" t="inlineStr"/>
    </row>
    <row r="7" ht="40" customHeight="1">
      <c r="A7" s="16" t="inlineStr">
        <is>
          <t>A06-004</t>
        </is>
      </c>
      <c r="B7" s="26" t="inlineStr">
        <is>
          <t>A06</t>
        </is>
      </c>
      <c r="C7" s="18" t="inlineStr">
        <is>
          <t>Ödeme istatistikleri</t>
        </is>
      </c>
      <c r="D7" s="18" t="inlineStr">
        <is>
          <t>—</t>
        </is>
      </c>
      <c r="E7" s="18" t="inlineStr">
        <is>
          <t>1. /payments/statistics aç</t>
        </is>
      </c>
      <c r="F7" s="18" t="inlineStr">
        <is>
          <t>Başarı oranı, sağlayıcı dağılımı.</t>
        </is>
      </c>
      <c r="G7" s="18" t="inlineStr"/>
      <c r="H7" s="16" t="inlineStr">
        <is>
          <t>Beklemede</t>
        </is>
      </c>
      <c r="I7" s="26" t="inlineStr"/>
      <c r="J7" s="26" t="inlineStr"/>
      <c r="K7" s="26" t="inlineStr"/>
      <c r="L7" s="16" t="inlineStr">
        <is>
          <t>Orta</t>
        </is>
      </c>
      <c r="M7" s="18" t="inlineStr"/>
    </row>
    <row r="8" ht="40" customHeight="1">
      <c r="A8" s="14" t="inlineStr">
        <is>
          <t>A06-005</t>
        </is>
      </c>
      <c r="B8" s="25" t="inlineStr">
        <is>
          <t>A06</t>
        </is>
      </c>
      <c r="C8" s="6" t="inlineStr">
        <is>
          <t>İadeler listesi</t>
        </is>
      </c>
      <c r="D8" s="6" t="inlineStr">
        <is>
          <t>—</t>
        </is>
      </c>
      <c r="E8" s="6" t="inlineStr">
        <is>
          <t>1. /refunds aç</t>
        </is>
      </c>
      <c r="F8" s="6" t="inlineStr">
        <is>
          <t>Tüm iadeler tarihe göre; filtre.</t>
        </is>
      </c>
      <c r="G8" s="6" t="inlineStr"/>
      <c r="H8" s="14" t="inlineStr">
        <is>
          <t>Beklemede</t>
        </is>
      </c>
      <c r="I8" s="25" t="inlineStr"/>
      <c r="J8" s="25" t="inlineStr"/>
      <c r="K8" s="25" t="inlineStr"/>
      <c r="L8" s="14" t="inlineStr">
        <is>
          <t>Orta</t>
        </is>
      </c>
      <c r="M8" s="6" t="inlineStr"/>
    </row>
    <row r="9" ht="40" customHeight="1">
      <c r="A9" s="16" t="inlineStr">
        <is>
          <t>A06-006</t>
        </is>
      </c>
      <c r="B9" s="26" t="inlineStr">
        <is>
          <t>A06</t>
        </is>
      </c>
      <c r="C9" s="18" t="inlineStr">
        <is>
          <t>Manuel iade tetikleme</t>
        </is>
      </c>
      <c r="D9" s="18" t="inlineStr">
        <is>
          <t>Sipariş detayda.</t>
        </is>
      </c>
      <c r="E9" s="18" t="inlineStr">
        <is>
          <t>1. 'Manuel İade' butonu</t>
        </is>
      </c>
      <c r="F9" s="18" t="inlineStr">
        <is>
          <t>Tutar gir, sebep yaz; PayTR refund tetiklenir.</t>
        </is>
      </c>
      <c r="G9" s="18" t="inlineStr"/>
      <c r="H9" s="16" t="inlineStr">
        <is>
          <t>Beklemede</t>
        </is>
      </c>
      <c r="I9" s="26" t="inlineStr"/>
      <c r="J9" s="26" t="inlineStr"/>
      <c r="K9" s="26" t="inlineStr"/>
      <c r="L9" s="16" t="inlineStr">
        <is>
          <t>Yüksek</t>
        </is>
      </c>
      <c r="M9" s="18" t="inlineStr"/>
    </row>
    <row r="10" ht="40" customHeight="1">
      <c r="A10" s="14" t="inlineStr">
        <is>
          <t>A06-007</t>
        </is>
      </c>
      <c r="B10" s="25" t="inlineStr">
        <is>
          <t>A06</t>
        </is>
      </c>
      <c r="C10" s="6" t="inlineStr">
        <is>
          <t>Payout listesi</t>
        </is>
      </c>
      <c r="D10" s="6" t="inlineStr">
        <is>
          <t>—</t>
        </is>
      </c>
      <c r="E10" s="6" t="inlineStr">
        <is>
          <t>1. /payouts aç</t>
        </is>
      </c>
      <c r="F10" s="6" t="inlineStr">
        <is>
          <t>Pending/processing/completed/failed payoutlar.</t>
        </is>
      </c>
      <c r="G10" s="6" t="inlineStr"/>
      <c r="H10" s="14" t="inlineStr">
        <is>
          <t>Beklemede</t>
        </is>
      </c>
      <c r="I10" s="25" t="inlineStr"/>
      <c r="J10" s="25" t="inlineStr"/>
      <c r="K10" s="25" t="inlineStr"/>
      <c r="L10" s="14" t="inlineStr">
        <is>
          <t>Orta</t>
        </is>
      </c>
      <c r="M10" s="6" t="inlineStr"/>
    </row>
    <row r="11" ht="40" customHeight="1">
      <c r="A11" s="16" t="inlineStr">
        <is>
          <t>A06-008</t>
        </is>
      </c>
      <c r="B11" s="26" t="inlineStr">
        <is>
          <t>A06</t>
        </is>
      </c>
      <c r="C11" s="18" t="inlineStr">
        <is>
          <t>Manuel payout oluşturma</t>
        </is>
      </c>
      <c r="D11" s="18" t="inlineStr">
        <is>
          <t>—</t>
        </is>
      </c>
      <c r="E11" s="18" t="inlineStr">
        <is>
          <t>1. Yeni payout, satıcı seç, tutar gir</t>
        </is>
      </c>
      <c r="F11" s="18" t="inlineStr">
        <is>
          <t>Payout queue'ya eklenir.</t>
        </is>
      </c>
      <c r="G11" s="18" t="inlineStr"/>
      <c r="H11" s="16" t="inlineStr">
        <is>
          <t>Beklemede</t>
        </is>
      </c>
      <c r="I11" s="26" t="inlineStr"/>
      <c r="J11" s="26" t="inlineStr"/>
      <c r="K11" s="26" t="inlineStr"/>
      <c r="L11" s="16" t="inlineStr">
        <is>
          <t>Orta</t>
        </is>
      </c>
      <c r="M11" s="18" t="inlineStr"/>
    </row>
    <row r="12" ht="40" customHeight="1">
      <c r="A12" s="14" t="inlineStr">
        <is>
          <t>A06-009</t>
        </is>
      </c>
      <c r="B12" s="25" t="inlineStr">
        <is>
          <t>A06</t>
        </is>
      </c>
      <c r="C12" s="6" t="inlineStr">
        <is>
          <t>Failed payout retry</t>
        </is>
      </c>
      <c r="D12" s="6" t="inlineStr">
        <is>
          <t>Hata almış payout.</t>
        </is>
      </c>
      <c r="E12" s="6" t="inlineStr">
        <is>
          <t>1. Retry butonu</t>
        </is>
      </c>
      <c r="F12" s="6" t="inlineStr">
        <is>
          <t>Yeniden denenir; başarılıysa completed.</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A07 — Komisyon, Vergi, Kargo Ayarları</t>
        </is>
      </c>
    </row>
    <row r="2" ht="28" customHeight="1">
      <c r="A2" s="24" t="inlineStr">
        <is>
          <t>Platform finansal ve operasyonel ayarları.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A07-001</t>
        </is>
      </c>
      <c r="B4" s="25" t="inlineStr">
        <is>
          <t>A07</t>
        </is>
      </c>
      <c r="C4" s="6" t="inlineStr">
        <is>
          <t>Komisyon oranı düzenleme</t>
        </is>
      </c>
      <c r="D4" s="6" t="inlineStr">
        <is>
          <t>—</t>
        </is>
      </c>
      <c r="E4" s="6" t="inlineStr">
        <is>
          <t>1. /commission aç, oranı değiştir, kaydet</t>
        </is>
      </c>
      <c r="F4" s="6" t="inlineStr">
        <is>
          <t>Yeni oran sonraki siparişlere uygulanır.</t>
        </is>
      </c>
      <c r="G4" s="6" t="inlineStr"/>
      <c r="H4" s="14" t="inlineStr">
        <is>
          <t>Beklemede</t>
        </is>
      </c>
      <c r="I4" s="25" t="inlineStr"/>
      <c r="J4" s="25" t="inlineStr"/>
      <c r="K4" s="25" t="inlineStr"/>
      <c r="L4" s="14" t="inlineStr">
        <is>
          <t>Orta</t>
        </is>
      </c>
      <c r="M4" s="6" t="inlineStr"/>
    </row>
    <row r="5" ht="40" customHeight="1">
      <c r="A5" s="16" t="inlineStr">
        <is>
          <t>A07-002</t>
        </is>
      </c>
      <c r="B5" s="26" t="inlineStr">
        <is>
          <t>A07</t>
        </is>
      </c>
      <c r="C5" s="18" t="inlineStr">
        <is>
          <t>Kategori bazlı komisyon</t>
        </is>
      </c>
      <c r="D5" s="18" t="inlineStr">
        <is>
          <t>—</t>
        </is>
      </c>
      <c r="E5" s="18" t="inlineStr">
        <is>
          <t>1. Kategori-spesifik oran ekle</t>
        </is>
      </c>
      <c r="F5" s="18" t="inlineStr">
        <is>
          <t>İlgili kategori siparişlerinde özel oran kullanılır.</t>
        </is>
      </c>
      <c r="G5" s="18" t="inlineStr"/>
      <c r="H5" s="16" t="inlineStr">
        <is>
          <t>Beklemede</t>
        </is>
      </c>
      <c r="I5" s="26" t="inlineStr"/>
      <c r="J5" s="26" t="inlineStr"/>
      <c r="K5" s="26" t="inlineStr"/>
      <c r="L5" s="16" t="inlineStr">
        <is>
          <t>Orta</t>
        </is>
      </c>
      <c r="M5" s="18" t="inlineStr"/>
    </row>
    <row r="6" ht="40" customHeight="1">
      <c r="A6" s="14" t="inlineStr">
        <is>
          <t>A07-003</t>
        </is>
      </c>
      <c r="B6" s="25" t="inlineStr">
        <is>
          <t>A07</t>
        </is>
      </c>
      <c r="C6" s="6" t="inlineStr">
        <is>
          <t>Vergi (KDV) oranı</t>
        </is>
      </c>
      <c r="D6" s="6" t="inlineStr">
        <is>
          <t>—</t>
        </is>
      </c>
      <c r="E6" s="6" t="inlineStr">
        <is>
          <t>1. /tax aç, oran değiştir</t>
        </is>
      </c>
      <c r="F6" s="6" t="inlineStr">
        <is>
          <t>Yeni siparişlerde uygulanır.</t>
        </is>
      </c>
      <c r="G6" s="6" t="inlineStr"/>
      <c r="H6" s="14" t="inlineStr">
        <is>
          <t>Beklemede</t>
        </is>
      </c>
      <c r="I6" s="25" t="inlineStr"/>
      <c r="J6" s="25" t="inlineStr"/>
      <c r="K6" s="25" t="inlineStr"/>
      <c r="L6" s="14" t="inlineStr">
        <is>
          <t>Orta</t>
        </is>
      </c>
      <c r="M6" s="6" t="inlineStr"/>
    </row>
    <row r="7" ht="40" customHeight="1">
      <c r="A7" s="16" t="inlineStr">
        <is>
          <t>A07-004</t>
        </is>
      </c>
      <c r="B7" s="26" t="inlineStr">
        <is>
          <t>A07</t>
        </is>
      </c>
      <c r="C7" s="18" t="inlineStr">
        <is>
          <t>Kargo şirketi yönetimi</t>
        </is>
      </c>
      <c r="D7" s="18" t="inlineStr">
        <is>
          <t>—</t>
        </is>
      </c>
      <c r="E7" s="18" t="inlineStr">
        <is>
          <t>1. /shipping aç, firma ekle/devre dışı</t>
        </is>
      </c>
      <c r="F7" s="18" t="inlineStr">
        <is>
          <t>Listede güncellenir; sipariş kargo dropdown'unda görünür.</t>
        </is>
      </c>
      <c r="G7" s="18" t="inlineStr"/>
      <c r="H7" s="16" t="inlineStr">
        <is>
          <t>Beklemede</t>
        </is>
      </c>
      <c r="I7" s="26" t="inlineStr"/>
      <c r="J7" s="26" t="inlineStr"/>
      <c r="K7" s="26" t="inlineStr"/>
      <c r="L7" s="16" t="inlineStr">
        <is>
          <t>Orta</t>
        </is>
      </c>
      <c r="M7" s="18" t="inlineStr"/>
    </row>
    <row r="8" ht="40" customHeight="1">
      <c r="A8" s="14" t="inlineStr">
        <is>
          <t>A07-005</t>
        </is>
      </c>
      <c r="B8" s="25" t="inlineStr">
        <is>
          <t>A07</t>
        </is>
      </c>
      <c r="C8" s="6" t="inlineStr">
        <is>
          <t>Kargo ücreti tarifesi</t>
        </is>
      </c>
      <c r="D8" s="6" t="inlineStr">
        <is>
          <t>—</t>
        </is>
      </c>
      <c r="E8" s="6" t="inlineStr">
        <is>
          <t>1. Ücret kuralları (eşik, ağırlık)</t>
        </is>
      </c>
      <c r="F8" s="6" t="inlineStr">
        <is>
          <t>Checkout'ta doğru hesaplanır.</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A08 — Kullanıcı Listesi ve Detayı</t>
        </is>
      </c>
    </row>
    <row r="2" ht="28" customHeight="1">
      <c r="A2" s="24" t="inlineStr">
        <is>
          <t>Arama, filtre, ban/unban, kullanıcı geçmişi.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A08-001</t>
        </is>
      </c>
      <c r="B4" s="25" t="inlineStr">
        <is>
          <t>A08</t>
        </is>
      </c>
      <c r="C4" s="6" t="inlineStr">
        <is>
          <t>Kullanıcı listesi</t>
        </is>
      </c>
      <c r="D4" s="6" t="inlineStr">
        <is>
          <t>—</t>
        </is>
      </c>
      <c r="E4" s="6" t="inlineStr">
        <is>
          <t>1. /users aç</t>
        </is>
      </c>
      <c r="F4" s="6" t="inlineStr">
        <is>
          <t>Tüm kullanıcılar; filtre/arama.</t>
        </is>
      </c>
      <c r="G4" s="6" t="inlineStr"/>
      <c r="H4" s="14" t="inlineStr">
        <is>
          <t>Beklemede</t>
        </is>
      </c>
      <c r="I4" s="25" t="inlineStr"/>
      <c r="J4" s="25" t="inlineStr"/>
      <c r="K4" s="25" t="inlineStr"/>
      <c r="L4" s="14" t="inlineStr">
        <is>
          <t>Orta</t>
        </is>
      </c>
      <c r="M4" s="6" t="inlineStr"/>
    </row>
    <row r="5" ht="40" customHeight="1">
      <c r="A5" s="16" t="inlineStr">
        <is>
          <t>A08-002</t>
        </is>
      </c>
      <c r="B5" s="26" t="inlineStr">
        <is>
          <t>A08</t>
        </is>
      </c>
      <c r="C5" s="18" t="inlineStr">
        <is>
          <t>Kullanıcı arama (e-posta/ad)</t>
        </is>
      </c>
      <c r="D5" s="18" t="inlineStr">
        <is>
          <t>—</t>
        </is>
      </c>
      <c r="E5" s="18" t="inlineStr">
        <is>
          <t>1. Arama yap</t>
        </is>
      </c>
      <c r="F5" s="18" t="inlineStr">
        <is>
          <t>Doğru kullanıcı bulunur.</t>
        </is>
      </c>
      <c r="G5" s="18" t="inlineStr"/>
      <c r="H5" s="16" t="inlineStr">
        <is>
          <t>Beklemede</t>
        </is>
      </c>
      <c r="I5" s="26" t="inlineStr"/>
      <c r="J5" s="26" t="inlineStr"/>
      <c r="K5" s="26" t="inlineStr"/>
      <c r="L5" s="16" t="inlineStr">
        <is>
          <t>Orta</t>
        </is>
      </c>
      <c r="M5" s="18" t="inlineStr"/>
    </row>
    <row r="6" ht="40" customHeight="1">
      <c r="A6" s="14" t="inlineStr">
        <is>
          <t>A08-003</t>
        </is>
      </c>
      <c r="B6" s="25" t="inlineStr">
        <is>
          <t>A08</t>
        </is>
      </c>
      <c r="C6" s="6" t="inlineStr">
        <is>
          <t>Kullanıcı detayı</t>
        </is>
      </c>
      <c r="D6" s="6" t="inlineStr">
        <is>
          <t>—</t>
        </is>
      </c>
      <c r="E6" s="6" t="inlineStr">
        <is>
          <t>1. Detay aç</t>
        </is>
      </c>
      <c r="F6" s="6" t="inlineStr">
        <is>
          <t>Kişisel bilgi, üyelik, son sipariş/ürün/takas/mesaj.</t>
        </is>
      </c>
      <c r="G6" s="6" t="inlineStr"/>
      <c r="H6" s="14" t="inlineStr">
        <is>
          <t>Beklemede</t>
        </is>
      </c>
      <c r="I6" s="25" t="inlineStr"/>
      <c r="J6" s="25" t="inlineStr"/>
      <c r="K6" s="25" t="inlineStr"/>
      <c r="L6" s="14" t="inlineStr">
        <is>
          <t>Orta</t>
        </is>
      </c>
      <c r="M6" s="6" t="inlineStr"/>
    </row>
    <row r="7" ht="40" customHeight="1">
      <c r="A7" s="16" t="inlineStr">
        <is>
          <t>A08-004</t>
        </is>
      </c>
      <c r="B7" s="26" t="inlineStr">
        <is>
          <t>A08</t>
        </is>
      </c>
      <c r="C7" s="18" t="inlineStr">
        <is>
          <t>Kullanıcı banlama (sebep)</t>
        </is>
      </c>
      <c r="D7" s="18" t="inlineStr">
        <is>
          <t>—</t>
        </is>
      </c>
      <c r="E7" s="18" t="inlineStr">
        <is>
          <t>1. 'Banla' modal, sebep yaz, onayla</t>
        </is>
      </c>
      <c r="F7" s="18" t="inlineStr">
        <is>
          <t>Kullanıcı login olamaz; tüm aksiyonlar engellenir; mail bildirimi.</t>
        </is>
      </c>
      <c r="G7" s="18" t="inlineStr"/>
      <c r="H7" s="16" t="inlineStr">
        <is>
          <t>Beklemede</t>
        </is>
      </c>
      <c r="I7" s="26" t="inlineStr"/>
      <c r="J7" s="26" t="inlineStr"/>
      <c r="K7" s="26" t="inlineStr"/>
      <c r="L7" s="16" t="inlineStr">
        <is>
          <t>Yüksek</t>
        </is>
      </c>
      <c r="M7" s="18" t="inlineStr"/>
    </row>
    <row r="8" ht="40" customHeight="1">
      <c r="A8" s="14" t="inlineStr">
        <is>
          <t>A08-005</t>
        </is>
      </c>
      <c r="B8" s="25" t="inlineStr">
        <is>
          <t>A08</t>
        </is>
      </c>
      <c r="C8" s="6" t="inlineStr">
        <is>
          <t>Ban kaldırma</t>
        </is>
      </c>
      <c r="D8" s="6" t="inlineStr">
        <is>
          <t>Banlı kullanıcı.</t>
        </is>
      </c>
      <c r="E8" s="6" t="inlineStr">
        <is>
          <t>1. Unban butonu</t>
        </is>
      </c>
      <c r="F8" s="6" t="inlineStr">
        <is>
          <t>Hesap aktif olur.</t>
        </is>
      </c>
      <c r="G8" s="6" t="inlineStr"/>
      <c r="H8" s="14" t="inlineStr">
        <is>
          <t>Beklemede</t>
        </is>
      </c>
      <c r="I8" s="25" t="inlineStr"/>
      <c r="J8" s="25" t="inlineStr"/>
      <c r="K8" s="25" t="inlineStr"/>
      <c r="L8" s="14" t="inlineStr">
        <is>
          <t>Orta</t>
        </is>
      </c>
      <c r="M8" s="6" t="inlineStr"/>
    </row>
    <row r="9" ht="40" customHeight="1">
      <c r="A9" s="16" t="inlineStr">
        <is>
          <t>A08-006</t>
        </is>
      </c>
      <c r="B9" s="26" t="inlineStr">
        <is>
          <t>A08</t>
        </is>
      </c>
      <c r="C9" s="18" t="inlineStr">
        <is>
          <t>Banlı satıcı ürünleri</t>
        </is>
      </c>
      <c r="D9" s="18" t="inlineStr">
        <is>
          <t>—</t>
        </is>
      </c>
      <c r="E9" s="18" t="inlineStr">
        <is>
          <t>1. Banlı satıcının ilanlarını kontrol</t>
        </is>
      </c>
      <c r="F9" s="18" t="inlineStr">
        <is>
          <t>İlanlar pasifleştirilir/gizlenir.</t>
        </is>
      </c>
      <c r="G9" s="18" t="inlineStr"/>
      <c r="H9" s="16" t="inlineStr">
        <is>
          <t>Beklemede</t>
        </is>
      </c>
      <c r="I9" s="26" t="inlineStr"/>
      <c r="J9" s="26" t="inlineStr"/>
      <c r="K9" s="26" t="inlineStr"/>
      <c r="L9" s="16" t="inlineStr">
        <is>
          <t>Orta</t>
        </is>
      </c>
      <c r="M9" s="18" t="inlineStr"/>
    </row>
    <row r="10" ht="40" customHeight="1">
      <c r="A10" s="14" t="inlineStr">
        <is>
          <t>A08-007</t>
        </is>
      </c>
      <c r="B10" s="25" t="inlineStr">
        <is>
          <t>A08</t>
        </is>
      </c>
      <c r="C10" s="6" t="inlineStr">
        <is>
          <t>Kullanıcı şifresini sıfırlama (admin)</t>
        </is>
      </c>
      <c r="D10" s="6" t="inlineStr">
        <is>
          <t>—</t>
        </is>
      </c>
      <c r="E10" s="6" t="inlineStr">
        <is>
          <t>1. Admin → 'Şifre sıfırlama maili gönder'</t>
        </is>
      </c>
      <c r="F10" s="6" t="inlineStr">
        <is>
          <t>Mail gider; admin şifreyi göremez.</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A09 — Satıcı Başvuruları ve Performans</t>
        </is>
      </c>
    </row>
    <row r="2" ht="28" customHeight="1">
      <c r="A2" s="24" t="inlineStr">
        <is>
          <t>Satıcı başvurusu inceleme, onay, performans metrikleri.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A09-001</t>
        </is>
      </c>
      <c r="B4" s="25" t="inlineStr">
        <is>
          <t>A09</t>
        </is>
      </c>
      <c r="C4" s="6" t="inlineStr">
        <is>
          <t>Satıcı başvuru listesi</t>
        </is>
      </c>
      <c r="D4" s="6" t="inlineStr">
        <is>
          <t>—</t>
        </is>
      </c>
      <c r="E4" s="6" t="inlineStr">
        <is>
          <t>1. /sellers/applications aç</t>
        </is>
      </c>
      <c r="F4" s="6" t="inlineStr">
        <is>
          <t>Pending başvurular; belge linkleri.</t>
        </is>
      </c>
      <c r="G4" s="6" t="inlineStr"/>
      <c r="H4" s="14" t="inlineStr">
        <is>
          <t>Beklemede</t>
        </is>
      </c>
      <c r="I4" s="25" t="inlineStr"/>
      <c r="J4" s="25" t="inlineStr"/>
      <c r="K4" s="25" t="inlineStr"/>
      <c r="L4" s="14" t="inlineStr">
        <is>
          <t>Orta</t>
        </is>
      </c>
      <c r="M4" s="6" t="inlineStr"/>
    </row>
    <row r="5" ht="40" customHeight="1">
      <c r="A5" s="16" t="inlineStr">
        <is>
          <t>A09-002</t>
        </is>
      </c>
      <c r="B5" s="26" t="inlineStr">
        <is>
          <t>A09</t>
        </is>
      </c>
      <c r="C5" s="18" t="inlineStr">
        <is>
          <t>Başvuru detayı inceleme</t>
        </is>
      </c>
      <c r="D5" s="18" t="inlineStr">
        <is>
          <t>—</t>
        </is>
      </c>
      <c r="E5" s="18" t="inlineStr">
        <is>
          <t>1. Bir başvuruyu seç</t>
        </is>
      </c>
      <c r="F5" s="18" t="inlineStr">
        <is>
          <t>Vergi no, KVKK belgesi, kimlik vs. görünür.</t>
        </is>
      </c>
      <c r="G5" s="18" t="inlineStr"/>
      <c r="H5" s="16" t="inlineStr">
        <is>
          <t>Beklemede</t>
        </is>
      </c>
      <c r="I5" s="26" t="inlineStr"/>
      <c r="J5" s="26" t="inlineStr"/>
      <c r="K5" s="26" t="inlineStr"/>
      <c r="L5" s="16" t="inlineStr">
        <is>
          <t>Orta</t>
        </is>
      </c>
      <c r="M5" s="18" t="inlineStr"/>
    </row>
    <row r="6" ht="40" customHeight="1">
      <c r="A6" s="14" t="inlineStr">
        <is>
          <t>A09-003</t>
        </is>
      </c>
      <c r="B6" s="25" t="inlineStr">
        <is>
          <t>A09</t>
        </is>
      </c>
      <c r="C6" s="6" t="inlineStr">
        <is>
          <t>Başvuru onayı</t>
        </is>
      </c>
      <c r="D6" s="6" t="inlineStr">
        <is>
          <t>—</t>
        </is>
      </c>
      <c r="E6" s="6" t="inlineStr">
        <is>
          <t>1. Onayla butonu</t>
        </is>
      </c>
      <c r="F6" s="6" t="inlineStr">
        <is>
          <t>User.isSeller=true; satıcıya 'hesabınız aktif' maili.</t>
        </is>
      </c>
      <c r="G6" s="6" t="inlineStr"/>
      <c r="H6" s="14" t="inlineStr">
        <is>
          <t>Beklemede</t>
        </is>
      </c>
      <c r="I6" s="25" t="inlineStr"/>
      <c r="J6" s="25" t="inlineStr"/>
      <c r="K6" s="25" t="inlineStr"/>
      <c r="L6" s="14" t="inlineStr">
        <is>
          <t>Kritik</t>
        </is>
      </c>
      <c r="M6" s="6" t="inlineStr"/>
    </row>
    <row r="7" ht="40" customHeight="1">
      <c r="A7" s="16" t="inlineStr">
        <is>
          <t>A09-004</t>
        </is>
      </c>
      <c r="B7" s="26" t="inlineStr">
        <is>
          <t>A09</t>
        </is>
      </c>
      <c r="C7" s="18" t="inlineStr">
        <is>
          <t>Başvuru reddi (sebep)</t>
        </is>
      </c>
      <c r="D7" s="18" t="inlineStr">
        <is>
          <t>—</t>
        </is>
      </c>
      <c r="E7" s="18" t="inlineStr">
        <is>
          <t>1. Reddet modal, sebep yaz, kaydet</t>
        </is>
      </c>
      <c r="F7" s="18" t="inlineStr">
        <is>
          <t>Sebep maille bildirilir; başvuru cancelled.</t>
        </is>
      </c>
      <c r="G7" s="18" t="inlineStr"/>
      <c r="H7" s="16" t="inlineStr">
        <is>
          <t>Beklemede</t>
        </is>
      </c>
      <c r="I7" s="26" t="inlineStr"/>
      <c r="J7" s="26" t="inlineStr"/>
      <c r="K7" s="26" t="inlineStr"/>
      <c r="L7" s="16" t="inlineStr">
        <is>
          <t>Orta</t>
        </is>
      </c>
      <c r="M7" s="18" t="inlineStr"/>
    </row>
    <row r="8" ht="40" customHeight="1">
      <c r="A8" s="14" t="inlineStr">
        <is>
          <t>A09-005</t>
        </is>
      </c>
      <c r="B8" s="25" t="inlineStr">
        <is>
          <t>A09</t>
        </is>
      </c>
      <c r="C8" s="6" t="inlineStr">
        <is>
          <t>Satıcı performans sayfası</t>
        </is>
      </c>
      <c r="D8" s="6" t="inlineStr">
        <is>
          <t>—</t>
        </is>
      </c>
      <c r="E8" s="6" t="inlineStr">
        <is>
          <t>1. /sellers/performance aç</t>
        </is>
      </c>
      <c r="F8" s="6" t="inlineStr">
        <is>
          <t>Tamamlama oranı, itiraz oranı, rating, kargo hızı görünür.</t>
        </is>
      </c>
      <c r="G8" s="6" t="inlineStr"/>
      <c r="H8" s="14" t="inlineStr">
        <is>
          <t>Beklemede</t>
        </is>
      </c>
      <c r="I8" s="25" t="inlineStr"/>
      <c r="J8" s="25" t="inlineStr"/>
      <c r="K8" s="25" t="inlineStr"/>
      <c r="L8" s="14" t="inlineStr">
        <is>
          <t>Orta</t>
        </is>
      </c>
      <c r="M8" s="6" t="inlineStr"/>
    </row>
    <row r="9" ht="40" customHeight="1">
      <c r="A9" s="16" t="inlineStr">
        <is>
          <t>A09-006</t>
        </is>
      </c>
      <c r="B9" s="26" t="inlineStr">
        <is>
          <t>A09</t>
        </is>
      </c>
      <c r="C9" s="18" t="inlineStr">
        <is>
          <t>Düşük performans satıcı uyarısı</t>
        </is>
      </c>
      <c r="D9" s="18" t="inlineStr">
        <is>
          <t>Eşik altı satıcı.</t>
        </is>
      </c>
      <c r="E9" s="18" t="inlineStr">
        <is>
          <t>1. —</t>
        </is>
      </c>
      <c r="F9" s="18" t="inlineStr">
        <is>
          <t>Listeyle işaretlenir; uyarı maili otomatik.</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A10 — Membership Tier Yönetimi</t>
        </is>
      </c>
    </row>
    <row r="2" ht="28" customHeight="1">
      <c r="A2" s="24" t="inlineStr">
        <is>
          <t>Plan tanımı, fiyat, özellikler, geçerlilik.</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A10-001</t>
        </is>
      </c>
      <c r="B4" s="25" t="inlineStr">
        <is>
          <t>A10</t>
        </is>
      </c>
      <c r="C4" s="6" t="inlineStr">
        <is>
          <t>Mevcut tier'ları listele</t>
        </is>
      </c>
      <c r="D4" s="6" t="inlineStr">
        <is>
          <t>—</t>
        </is>
      </c>
      <c r="E4" s="6" t="inlineStr">
        <is>
          <t>1. /membership-tiers aç</t>
        </is>
      </c>
      <c r="F4" s="6" t="inlineStr">
        <is>
          <t>Free, Basic, Premium, Business görünür.</t>
        </is>
      </c>
      <c r="G4" s="6" t="inlineStr"/>
      <c r="H4" s="14" t="inlineStr">
        <is>
          <t>Beklemede</t>
        </is>
      </c>
      <c r="I4" s="25" t="inlineStr"/>
      <c r="J4" s="25" t="inlineStr"/>
      <c r="K4" s="25" t="inlineStr"/>
      <c r="L4" s="14" t="inlineStr">
        <is>
          <t>Orta</t>
        </is>
      </c>
      <c r="M4" s="6" t="inlineStr"/>
    </row>
    <row r="5" ht="40" customHeight="1">
      <c r="A5" s="16" t="inlineStr">
        <is>
          <t>A10-002</t>
        </is>
      </c>
      <c r="B5" s="26" t="inlineStr">
        <is>
          <t>A10</t>
        </is>
      </c>
      <c r="C5" s="18" t="inlineStr">
        <is>
          <t>Tier fiyatı değiştirme</t>
        </is>
      </c>
      <c r="D5" s="18" t="inlineStr">
        <is>
          <t>—</t>
        </is>
      </c>
      <c r="E5" s="18" t="inlineStr">
        <is>
          <t>1. Premium fiyatını güncelle</t>
        </is>
      </c>
      <c r="F5" s="18" t="inlineStr">
        <is>
          <t>Yeni satın almalarda yeni fiyat geçerli; mevcut üyeler etkilenmez.</t>
        </is>
      </c>
      <c r="G5" s="18" t="inlineStr"/>
      <c r="H5" s="16" t="inlineStr">
        <is>
          <t>Beklemede</t>
        </is>
      </c>
      <c r="I5" s="26" t="inlineStr"/>
      <c r="J5" s="26" t="inlineStr"/>
      <c r="K5" s="26" t="inlineStr"/>
      <c r="L5" s="16" t="inlineStr">
        <is>
          <t>Orta</t>
        </is>
      </c>
      <c r="M5" s="18" t="inlineStr"/>
    </row>
    <row r="6" ht="40" customHeight="1">
      <c r="A6" s="14" t="inlineStr">
        <is>
          <t>A10-003</t>
        </is>
      </c>
      <c r="B6" s="25" t="inlineStr">
        <is>
          <t>A10</t>
        </is>
      </c>
      <c r="C6" s="6" t="inlineStr">
        <is>
          <t>Tier özelliği güncelleme (ilan limiti)</t>
        </is>
      </c>
      <c r="D6" s="6" t="inlineStr">
        <is>
          <t>—</t>
        </is>
      </c>
      <c r="E6" s="6" t="inlineStr">
        <is>
          <t>1. Ilan limitini değiştir</t>
        </is>
      </c>
      <c r="F6" s="6" t="inlineStr">
        <is>
          <t>Mevcut üyelerin limiti güncellenir.</t>
        </is>
      </c>
      <c r="G6" s="6" t="inlineStr"/>
      <c r="H6" s="14" t="inlineStr">
        <is>
          <t>Beklemede</t>
        </is>
      </c>
      <c r="I6" s="25" t="inlineStr"/>
      <c r="J6" s="25" t="inlineStr"/>
      <c r="K6" s="25" t="inlineStr"/>
      <c r="L6" s="14" t="inlineStr">
        <is>
          <t>Orta</t>
        </is>
      </c>
      <c r="M6" s="6" t="inlineStr"/>
    </row>
    <row r="7" ht="40" customHeight="1">
      <c r="A7" s="16" t="inlineStr">
        <is>
          <t>A10-004</t>
        </is>
      </c>
      <c r="B7" s="26" t="inlineStr">
        <is>
          <t>A10</t>
        </is>
      </c>
      <c r="C7" s="18" t="inlineStr">
        <is>
          <t>Yeni tier oluşturma</t>
        </is>
      </c>
      <c r="D7" s="18" t="inlineStr">
        <is>
          <t>—</t>
        </is>
      </c>
      <c r="E7" s="18" t="inlineStr">
        <is>
          <t>1. + Yeni Tier</t>
        </is>
      </c>
      <c r="F7" s="18" t="inlineStr">
        <is>
          <t>Pricing sayfasında listelenir.</t>
        </is>
      </c>
      <c r="G7" s="18" t="inlineStr"/>
      <c r="H7" s="16" t="inlineStr">
        <is>
          <t>Beklemede</t>
        </is>
      </c>
      <c r="I7" s="26" t="inlineStr"/>
      <c r="J7" s="26" t="inlineStr"/>
      <c r="K7" s="26" t="inlineStr"/>
      <c r="L7" s="16" t="inlineStr">
        <is>
          <t>Orta</t>
        </is>
      </c>
      <c r="M7" s="18" t="inlineStr"/>
    </row>
    <row r="10">
      <c r="A10" s="27" t="inlineStr">
        <is>
          <t>Bu sayfadaki tüm senaryolar test edilmiş ve sonuçlar yukarıda işaretlenmiştir.</t>
        </is>
      </c>
    </row>
    <row r="11">
      <c r="A11" s="28" t="inlineStr">
        <is>
          <t>Test Eden (Tarodan)</t>
        </is>
      </c>
      <c r="D11" s="28" t="inlineStr">
        <is>
          <t>Tarih</t>
        </is>
      </c>
      <c r="G11" s="28" t="inlineStr">
        <is>
          <t>Onaylayan (Müşteri)</t>
        </is>
      </c>
      <c r="J11" s="28" t="inlineStr">
        <is>
          <t>Tarih</t>
        </is>
      </c>
    </row>
    <row r="12">
      <c r="A12" s="7" t="n"/>
      <c r="D12" s="7" t="n"/>
      <c r="G12" s="7" t="n"/>
      <c r="J12" s="7" t="n"/>
    </row>
  </sheetData>
  <mergeCells count="7">
    <mergeCell ref="G12:H12"/>
    <mergeCell ref="A1:M1"/>
    <mergeCell ref="J12:K12"/>
    <mergeCell ref="A10:M10"/>
    <mergeCell ref="A2:M2"/>
    <mergeCell ref="D12:E12"/>
    <mergeCell ref="A12:B12"/>
  </mergeCells>
  <conditionalFormatting sqref="H4:H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7" showDropDown="0" showInputMessage="0" showErrorMessage="0" allowBlank="1" errorTitle="Geçersiz değer" error="Lütfen listedeki seçeneklerden birini seçin." type="list">
      <formula1>"Beklemede,Geçti,Kaldı,Bloke,Yapılamadı,N/A"</formula1>
    </dataValidation>
    <dataValidation sqref="L4:L7" showDropDown="0" showInputMessage="0" showErrorMessage="0" allowBlank="1" type="list">
      <formula1>"Kritik,Yüksek,Orta,Düşük"</formula1>
    </dataValidation>
    <dataValidation sqref="K4:K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A11 — Discount / Coupon Yönetimi</t>
        </is>
      </c>
    </row>
    <row r="2" ht="28" customHeight="1">
      <c r="A2" s="24" t="inlineStr">
        <is>
          <t>Kupon oluşturma, kapsam, limit, flash sale.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A11-001</t>
        </is>
      </c>
      <c r="B4" s="25" t="inlineStr">
        <is>
          <t>A11</t>
        </is>
      </c>
      <c r="C4" s="6" t="inlineStr">
        <is>
          <t>Yeni kupon oluştur (yüzde)</t>
        </is>
      </c>
      <c r="D4" s="6" t="inlineStr">
        <is>
          <t>—</t>
        </is>
      </c>
      <c r="E4" s="6" t="inlineStr">
        <is>
          <t>1. /discounts → Yeni
2. Kod, %, kapsam, tarih, limit gir, kaydet</t>
        </is>
      </c>
      <c r="F4" s="6" t="inlineStr">
        <is>
          <t>Kupon aktif; web'de uygulanabilir.</t>
        </is>
      </c>
      <c r="G4" s="6" t="inlineStr"/>
      <c r="H4" s="14" t="inlineStr">
        <is>
          <t>Beklemede</t>
        </is>
      </c>
      <c r="I4" s="25" t="inlineStr"/>
      <c r="J4" s="25" t="inlineStr"/>
      <c r="K4" s="25" t="inlineStr"/>
      <c r="L4" s="14" t="inlineStr">
        <is>
          <t>Yüksek</t>
        </is>
      </c>
      <c r="M4" s="6" t="inlineStr"/>
    </row>
    <row r="5" ht="40" customHeight="1">
      <c r="A5" s="16" t="inlineStr">
        <is>
          <t>A11-002</t>
        </is>
      </c>
      <c r="B5" s="26" t="inlineStr">
        <is>
          <t>A11</t>
        </is>
      </c>
      <c r="C5" s="18" t="inlineStr">
        <is>
          <t>Sabit tutar kuponu</t>
        </is>
      </c>
      <c r="D5" s="18" t="inlineStr">
        <is>
          <t>—</t>
        </is>
      </c>
      <c r="E5" s="18" t="inlineStr">
        <is>
          <t>1. Sabit tutar tipinde oluştur</t>
        </is>
      </c>
      <c r="F5" s="18" t="inlineStr">
        <is>
          <t>Sepetten sabit miktar düşer.</t>
        </is>
      </c>
      <c r="G5" s="18" t="inlineStr"/>
      <c r="H5" s="16" t="inlineStr">
        <is>
          <t>Beklemede</t>
        </is>
      </c>
      <c r="I5" s="26" t="inlineStr"/>
      <c r="J5" s="26" t="inlineStr"/>
      <c r="K5" s="26" t="inlineStr"/>
      <c r="L5" s="16" t="inlineStr">
        <is>
          <t>Orta</t>
        </is>
      </c>
      <c r="M5" s="18" t="inlineStr"/>
    </row>
    <row r="6" ht="40" customHeight="1">
      <c r="A6" s="14" t="inlineStr">
        <is>
          <t>A11-003</t>
        </is>
      </c>
      <c r="B6" s="25" t="inlineStr">
        <is>
          <t>A11</t>
        </is>
      </c>
      <c r="C6" s="6" t="inlineStr">
        <is>
          <t>BOGO / çoklu alım kuponu</t>
        </is>
      </c>
      <c r="D6" s="6" t="inlineStr">
        <is>
          <t>—</t>
        </is>
      </c>
      <c r="E6" s="6" t="inlineStr">
        <is>
          <t>1. BOGO seç, kategoriler tanımla</t>
        </is>
      </c>
      <c r="F6" s="6" t="inlineStr">
        <is>
          <t>Sepete uygun ürünler eklenince otomatik uygulanır.</t>
        </is>
      </c>
      <c r="G6" s="6" t="inlineStr"/>
      <c r="H6" s="14" t="inlineStr">
        <is>
          <t>Beklemede</t>
        </is>
      </c>
      <c r="I6" s="25" t="inlineStr"/>
      <c r="J6" s="25" t="inlineStr"/>
      <c r="K6" s="25" t="inlineStr"/>
      <c r="L6" s="14" t="inlineStr">
        <is>
          <t>Orta</t>
        </is>
      </c>
      <c r="M6" s="6" t="inlineStr"/>
    </row>
    <row r="7" ht="40" customHeight="1">
      <c r="A7" s="16" t="inlineStr">
        <is>
          <t>A11-004</t>
        </is>
      </c>
      <c r="B7" s="26" t="inlineStr">
        <is>
          <t>A11</t>
        </is>
      </c>
      <c r="C7" s="18" t="inlineStr">
        <is>
          <t>Kategori bazlı kupon</t>
        </is>
      </c>
      <c r="D7" s="18" t="inlineStr">
        <is>
          <t>—</t>
        </is>
      </c>
      <c r="E7" s="18" t="inlineStr">
        <is>
          <t>1. Kapsam: Kategori, kategori seç</t>
        </is>
      </c>
      <c r="F7" s="18" t="inlineStr">
        <is>
          <t>Sadece o kategoride uygulanır.</t>
        </is>
      </c>
      <c r="G7" s="18" t="inlineStr"/>
      <c r="H7" s="16" t="inlineStr">
        <is>
          <t>Beklemede</t>
        </is>
      </c>
      <c r="I7" s="26" t="inlineStr"/>
      <c r="J7" s="26" t="inlineStr"/>
      <c r="K7" s="26" t="inlineStr"/>
      <c r="L7" s="16" t="inlineStr">
        <is>
          <t>Orta</t>
        </is>
      </c>
      <c r="M7" s="18" t="inlineStr"/>
    </row>
    <row r="8" ht="40" customHeight="1">
      <c r="A8" s="14" t="inlineStr">
        <is>
          <t>A11-005</t>
        </is>
      </c>
      <c r="B8" s="25" t="inlineStr">
        <is>
          <t>A11</t>
        </is>
      </c>
      <c r="C8" s="6" t="inlineStr">
        <is>
          <t>Min sepet eşiği</t>
        </is>
      </c>
      <c r="D8" s="6" t="inlineStr">
        <is>
          <t>—</t>
        </is>
      </c>
      <c r="E8" s="6" t="inlineStr">
        <is>
          <t>1. Min sepet tutarı tanımla</t>
        </is>
      </c>
      <c r="F8" s="6" t="inlineStr">
        <is>
          <t>Eşik altında kupon uygulanmaz.</t>
        </is>
      </c>
      <c r="G8" s="6" t="inlineStr"/>
      <c r="H8" s="14" t="inlineStr">
        <is>
          <t>Beklemede</t>
        </is>
      </c>
      <c r="I8" s="25" t="inlineStr"/>
      <c r="J8" s="25" t="inlineStr"/>
      <c r="K8" s="25" t="inlineStr"/>
      <c r="L8" s="14" t="inlineStr">
        <is>
          <t>Orta</t>
        </is>
      </c>
      <c r="M8" s="6" t="inlineStr"/>
    </row>
    <row r="9" ht="40" customHeight="1">
      <c r="A9" s="16" t="inlineStr">
        <is>
          <t>A11-006</t>
        </is>
      </c>
      <c r="B9" s="26" t="inlineStr">
        <is>
          <t>A11</t>
        </is>
      </c>
      <c r="C9" s="18" t="inlineStr">
        <is>
          <t>Kullanım limiti (kişi başı)</t>
        </is>
      </c>
      <c r="D9" s="18" t="inlineStr">
        <is>
          <t>—</t>
        </is>
      </c>
      <c r="E9" s="18" t="inlineStr">
        <is>
          <t>1. Kişi başı 1 limit</t>
        </is>
      </c>
      <c r="F9" s="18" t="inlineStr">
        <is>
          <t>İkinci kullanımda hata.</t>
        </is>
      </c>
      <c r="G9" s="18" t="inlineStr"/>
      <c r="H9" s="16" t="inlineStr">
        <is>
          <t>Beklemede</t>
        </is>
      </c>
      <c r="I9" s="26" t="inlineStr"/>
      <c r="J9" s="26" t="inlineStr"/>
      <c r="K9" s="26" t="inlineStr"/>
      <c r="L9" s="16" t="inlineStr">
        <is>
          <t>Orta</t>
        </is>
      </c>
      <c r="M9" s="18" t="inlineStr"/>
    </row>
    <row r="10" ht="40" customHeight="1">
      <c r="A10" s="14" t="inlineStr">
        <is>
          <t>A11-007</t>
        </is>
      </c>
      <c r="B10" s="25" t="inlineStr">
        <is>
          <t>A11</t>
        </is>
      </c>
      <c r="C10" s="6" t="inlineStr">
        <is>
          <t>Kupon devre dışı bırakma</t>
        </is>
      </c>
      <c r="D10" s="6" t="inlineStr">
        <is>
          <t>Aktif kupon.</t>
        </is>
      </c>
      <c r="E10" s="6" t="inlineStr">
        <is>
          <t>1. Pasif yap</t>
        </is>
      </c>
      <c r="F10" s="6" t="inlineStr">
        <is>
          <t>Kullanılamaz; web'de hata.</t>
        </is>
      </c>
      <c r="G10" s="6" t="inlineStr"/>
      <c r="H10" s="14" t="inlineStr">
        <is>
          <t>Beklemede</t>
        </is>
      </c>
      <c r="I10" s="25" t="inlineStr"/>
      <c r="J10" s="25" t="inlineStr"/>
      <c r="K10" s="25" t="inlineStr"/>
      <c r="L10" s="14" t="inlineStr">
        <is>
          <t>Orta</t>
        </is>
      </c>
      <c r="M10" s="6" t="inlineStr"/>
    </row>
    <row r="11" ht="40" customHeight="1">
      <c r="A11" s="16" t="inlineStr">
        <is>
          <t>A11-008</t>
        </is>
      </c>
      <c r="B11" s="26" t="inlineStr">
        <is>
          <t>A11</t>
        </is>
      </c>
      <c r="C11" s="18" t="inlineStr">
        <is>
          <t>Flash sale işareti</t>
        </is>
      </c>
      <c r="D11" s="18" t="inlineStr">
        <is>
          <t>—</t>
        </is>
      </c>
      <c r="E11" s="18" t="inlineStr">
        <is>
          <t>1. Flash sale checkbox</t>
        </is>
      </c>
      <c r="F11" s="18" t="inlineStr">
        <is>
          <t>Anasayfada özel banner; geri sayım.</t>
        </is>
      </c>
      <c r="G11" s="18" t="inlineStr"/>
      <c r="H11" s="16" t="inlineStr">
        <is>
          <t>Beklemede</t>
        </is>
      </c>
      <c r="I11" s="26" t="inlineStr"/>
      <c r="J11" s="26" t="inlineStr"/>
      <c r="K11" s="26" t="inlineStr"/>
      <c r="L11" s="16" t="inlineStr">
        <is>
          <t>Orta</t>
        </is>
      </c>
      <c r="M11" s="18" t="inlineStr"/>
    </row>
    <row r="12" ht="40" customHeight="1">
      <c r="A12" s="14" t="inlineStr">
        <is>
          <t>A11-009</t>
        </is>
      </c>
      <c r="B12" s="25" t="inlineStr">
        <is>
          <t>A11</t>
        </is>
      </c>
      <c r="C12" s="6" t="inlineStr">
        <is>
          <t>Kupon istatistikleri</t>
        </is>
      </c>
      <c r="D12" s="6" t="inlineStr">
        <is>
          <t>Kullanılmış kupon.</t>
        </is>
      </c>
      <c r="E12" s="6" t="inlineStr">
        <is>
          <t>1. Detay aç</t>
        </is>
      </c>
      <c r="F12" s="6" t="inlineStr">
        <is>
          <t>Kullanım sayısı, toplam indirim tutarı.</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A12 — E-posta Şablon Yönetimi</t>
        </is>
      </c>
    </row>
    <row r="2" ht="28" customHeight="1">
      <c r="A2" s="24" t="inlineStr">
        <is>
          <t>Mail içeriklerinin admin tarafından düzenlenmesi.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A12-001</t>
        </is>
      </c>
      <c r="B4" s="25" t="inlineStr">
        <is>
          <t>A12</t>
        </is>
      </c>
      <c r="C4" s="6" t="inlineStr">
        <is>
          <t>Şablon listesi</t>
        </is>
      </c>
      <c r="D4" s="6" t="inlineStr">
        <is>
          <t>—</t>
        </is>
      </c>
      <c r="E4" s="6" t="inlineStr">
        <is>
          <t>1. /email-templates aç</t>
        </is>
      </c>
      <c r="F4" s="6" t="inlineStr">
        <is>
          <t>Tüm template key'leri listelenir.</t>
        </is>
      </c>
      <c r="G4" s="6" t="inlineStr"/>
      <c r="H4" s="14" t="inlineStr">
        <is>
          <t>Beklemede</t>
        </is>
      </c>
      <c r="I4" s="25" t="inlineStr"/>
      <c r="J4" s="25" t="inlineStr"/>
      <c r="K4" s="25" t="inlineStr"/>
      <c r="L4" s="14" t="inlineStr">
        <is>
          <t>Orta</t>
        </is>
      </c>
      <c r="M4" s="6" t="inlineStr"/>
    </row>
    <row r="5" ht="40" customHeight="1">
      <c r="A5" s="16" t="inlineStr">
        <is>
          <t>A12-002</t>
        </is>
      </c>
      <c r="B5" s="26" t="inlineStr">
        <is>
          <t>A12</t>
        </is>
      </c>
      <c r="C5" s="18" t="inlineStr">
        <is>
          <t>Şablon düzenleme</t>
        </is>
      </c>
      <c r="D5" s="18" t="inlineStr">
        <is>
          <t>—</t>
        </is>
      </c>
      <c r="E5" s="18" t="inlineStr">
        <is>
          <t>1. Bir template aç, subject + bodyHtml düzenle, kaydet</t>
        </is>
      </c>
      <c r="F5" s="18" t="inlineStr">
        <is>
          <t>Sonraki maillerde yeni içerik kullanılır.</t>
        </is>
      </c>
      <c r="G5" s="18" t="inlineStr"/>
      <c r="H5" s="16" t="inlineStr">
        <is>
          <t>Beklemede</t>
        </is>
      </c>
      <c r="I5" s="26" t="inlineStr"/>
      <c r="J5" s="26" t="inlineStr"/>
      <c r="K5" s="26" t="inlineStr"/>
      <c r="L5" s="16" t="inlineStr">
        <is>
          <t>Orta</t>
        </is>
      </c>
      <c r="M5" s="18" t="inlineStr"/>
    </row>
    <row r="6" ht="40" customHeight="1">
      <c r="A6" s="14" t="inlineStr">
        <is>
          <t>A12-003</t>
        </is>
      </c>
      <c r="B6" s="25" t="inlineStr">
        <is>
          <t>A12</t>
        </is>
      </c>
      <c r="C6" s="6" t="inlineStr">
        <is>
          <t>Şablon önizleme</t>
        </is>
      </c>
      <c r="D6" s="6" t="inlineStr">
        <is>
          <t>—</t>
        </is>
      </c>
      <c r="E6" s="6" t="inlineStr">
        <is>
          <t>1. Preview butonu, sample data gir</t>
        </is>
      </c>
      <c r="F6" s="6" t="inlineStr">
        <is>
          <t>Render edilmiş HTML görünür.</t>
        </is>
      </c>
      <c r="G6" s="6" t="inlineStr"/>
      <c r="H6" s="14" t="inlineStr">
        <is>
          <t>Beklemede</t>
        </is>
      </c>
      <c r="I6" s="25" t="inlineStr"/>
      <c r="J6" s="25" t="inlineStr"/>
      <c r="K6" s="25" t="inlineStr"/>
      <c r="L6" s="14" t="inlineStr">
        <is>
          <t>Orta</t>
        </is>
      </c>
      <c r="M6" s="6" t="inlineStr"/>
    </row>
    <row r="7" ht="40" customHeight="1">
      <c r="A7" s="16" t="inlineStr">
        <is>
          <t>A12-004</t>
        </is>
      </c>
      <c r="B7" s="26" t="inlineStr">
        <is>
          <t>A12</t>
        </is>
      </c>
      <c r="C7" s="18" t="inlineStr">
        <is>
          <t>Şablon değişkenleri ({{var}})</t>
        </is>
      </c>
      <c r="D7" s="18" t="inlineStr">
        <is>
          <t>—</t>
        </is>
      </c>
      <c r="E7" s="18" t="inlineStr">
        <is>
          <t>1. Şablona {{customerName}} ekle, kaydet</t>
        </is>
      </c>
      <c r="F7" s="18" t="inlineStr">
        <is>
          <t>Mailde değişken gerçek değerle değişir.</t>
        </is>
      </c>
      <c r="G7" s="18" t="inlineStr"/>
      <c r="H7" s="16" t="inlineStr">
        <is>
          <t>Beklemede</t>
        </is>
      </c>
      <c r="I7" s="26" t="inlineStr"/>
      <c r="J7" s="26" t="inlineStr"/>
      <c r="K7" s="26" t="inlineStr"/>
      <c r="L7" s="16" t="inlineStr">
        <is>
          <t>Orta</t>
        </is>
      </c>
      <c r="M7" s="18" t="inlineStr"/>
    </row>
    <row r="8" ht="40" customHeight="1">
      <c r="A8" s="14" t="inlineStr">
        <is>
          <t>A12-005</t>
        </is>
      </c>
      <c r="B8" s="25" t="inlineStr">
        <is>
          <t>A12</t>
        </is>
      </c>
      <c r="C8" s="6" t="inlineStr">
        <is>
          <t>Geçersiz HTML</t>
        </is>
      </c>
      <c r="D8" s="6" t="inlineStr">
        <is>
          <t>—</t>
        </is>
      </c>
      <c r="E8" s="6" t="inlineStr">
        <is>
          <t>1. Bozuk HTML kaydetmeyi dene</t>
        </is>
      </c>
      <c r="F8" s="6" t="inlineStr">
        <is>
          <t>Validasyon uyarısı; kaydetmez.</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A13 — Yorum ve Moderasyon Kuyruğu</t>
        </is>
      </c>
    </row>
    <row r="2" ht="28" customHeight="1">
      <c r="A2" s="24" t="inlineStr">
        <is>
          <t>Yorum onayı, spam tespiti, moderasyon işleyişi.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A13-001</t>
        </is>
      </c>
      <c r="B4" s="25" t="inlineStr">
        <is>
          <t>A13</t>
        </is>
      </c>
      <c r="C4" s="6" t="inlineStr">
        <is>
          <t>Yorum kuyruğu</t>
        </is>
      </c>
      <c r="D4" s="6" t="inlineStr">
        <is>
          <t>Pending yorumlar.</t>
        </is>
      </c>
      <c r="E4" s="6" t="inlineStr">
        <is>
          <t>1. /reviews aç</t>
        </is>
      </c>
      <c r="F4" s="6" t="inlineStr">
        <is>
          <t>Pending yorumlar; ürün/satıcı/alıcı bilgisi görünür.</t>
        </is>
      </c>
      <c r="G4" s="6" t="inlineStr"/>
      <c r="H4" s="14" t="inlineStr">
        <is>
          <t>Beklemede</t>
        </is>
      </c>
      <c r="I4" s="25" t="inlineStr"/>
      <c r="J4" s="25" t="inlineStr"/>
      <c r="K4" s="25" t="inlineStr"/>
      <c r="L4" s="14" t="inlineStr">
        <is>
          <t>Orta</t>
        </is>
      </c>
      <c r="M4" s="6" t="inlineStr"/>
    </row>
    <row r="5" ht="40" customHeight="1">
      <c r="A5" s="16" t="inlineStr">
        <is>
          <t>A13-002</t>
        </is>
      </c>
      <c r="B5" s="26" t="inlineStr">
        <is>
          <t>A13</t>
        </is>
      </c>
      <c r="C5" s="18" t="inlineStr">
        <is>
          <t>Yorum onayla / reddet / sil / spam</t>
        </is>
      </c>
      <c r="D5" s="18" t="inlineStr">
        <is>
          <t>—</t>
        </is>
      </c>
      <c r="E5" s="18" t="inlineStr">
        <is>
          <t>1. Aksiyonları tek tek dene</t>
        </is>
      </c>
      <c r="F5" s="18" t="inlineStr">
        <is>
          <t>Her aksiyon doğru sonuç verir; bildirimler gider.</t>
        </is>
      </c>
      <c r="G5" s="18" t="inlineStr"/>
      <c r="H5" s="16" t="inlineStr">
        <is>
          <t>Beklemede</t>
        </is>
      </c>
      <c r="I5" s="26" t="inlineStr"/>
      <c r="J5" s="26" t="inlineStr"/>
      <c r="K5" s="26" t="inlineStr"/>
      <c r="L5" s="16" t="inlineStr">
        <is>
          <t>Orta</t>
        </is>
      </c>
      <c r="M5" s="18" t="inlineStr"/>
    </row>
    <row r="6" ht="40" customHeight="1">
      <c r="A6" s="14" t="inlineStr">
        <is>
          <t>A13-003</t>
        </is>
      </c>
      <c r="B6" s="25" t="inlineStr">
        <is>
          <t>A13</t>
        </is>
      </c>
      <c r="C6" s="6" t="inlineStr">
        <is>
          <t>Admin yanıt verme</t>
        </is>
      </c>
      <c r="D6" s="6" t="inlineStr">
        <is>
          <t>—</t>
        </is>
      </c>
      <c r="E6" s="6" t="inlineStr">
        <is>
          <t>1. Yoruma admin yanıt</t>
        </is>
      </c>
      <c r="F6" s="6" t="inlineStr">
        <is>
          <t>Web'de 'Tarodan' yanıtı görünür.</t>
        </is>
      </c>
      <c r="G6" s="6" t="inlineStr"/>
      <c r="H6" s="14" t="inlineStr">
        <is>
          <t>Beklemede</t>
        </is>
      </c>
      <c r="I6" s="25" t="inlineStr"/>
      <c r="J6" s="25" t="inlineStr"/>
      <c r="K6" s="25" t="inlineStr"/>
      <c r="L6" s="14" t="inlineStr">
        <is>
          <t>Orta</t>
        </is>
      </c>
      <c r="M6" s="6" t="inlineStr"/>
    </row>
    <row r="7" ht="40" customHeight="1">
      <c r="A7" s="16" t="inlineStr">
        <is>
          <t>A13-004</t>
        </is>
      </c>
      <c r="B7" s="26" t="inlineStr">
        <is>
          <t>A13</t>
        </is>
      </c>
      <c r="C7" s="18" t="inlineStr">
        <is>
          <t>Moderasyon kuyruğu</t>
        </is>
      </c>
      <c r="D7" s="18" t="inlineStr">
        <is>
          <t>Şikayet edilmiş ürün/mesaj.</t>
        </is>
      </c>
      <c r="E7" s="18" t="inlineStr">
        <is>
          <t>1. /moderation aç</t>
        </is>
      </c>
      <c r="F7" s="18" t="inlineStr">
        <is>
          <t>Şikayetler listelenir; aksiyon menüsü çalışır.</t>
        </is>
      </c>
      <c r="G7" s="18" t="inlineStr"/>
      <c r="H7" s="16" t="inlineStr">
        <is>
          <t>Beklemede</t>
        </is>
      </c>
      <c r="I7" s="26" t="inlineStr"/>
      <c r="J7" s="26" t="inlineStr"/>
      <c r="K7" s="26" t="inlineStr"/>
      <c r="L7" s="16" t="inlineStr">
        <is>
          <t>Orta</t>
        </is>
      </c>
      <c r="M7" s="18" t="inlineStr"/>
    </row>
    <row r="8" ht="40" customHeight="1">
      <c r="A8" s="14" t="inlineStr">
        <is>
          <t>A13-005</t>
        </is>
      </c>
      <c r="B8" s="25" t="inlineStr">
        <is>
          <t>A13</t>
        </is>
      </c>
      <c r="C8" s="6" t="inlineStr">
        <is>
          <t>Şikayet → ürün gizleme</t>
        </is>
      </c>
      <c r="D8" s="6" t="inlineStr">
        <is>
          <t>—</t>
        </is>
      </c>
      <c r="E8" s="6" t="inlineStr">
        <is>
          <t>1. Şikayet sonrası ürün gizle</t>
        </is>
      </c>
      <c r="F8" s="6" t="inlineStr">
        <is>
          <t>Ürün web'de görünmez; satıcıya bildirim.</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A14 — Reklam ve Sponsorlu İçerik</t>
        </is>
      </c>
    </row>
    <row r="2" ht="28" customHeight="1">
      <c r="A2" s="24" t="inlineStr">
        <is>
          <t>Banner, sponsorlu ürün, görünürlük yönetimi.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A14-001</t>
        </is>
      </c>
      <c r="B4" s="25" t="inlineStr">
        <is>
          <t>A14</t>
        </is>
      </c>
      <c r="C4" s="6" t="inlineStr">
        <is>
          <t>Reklam listesi</t>
        </is>
      </c>
      <c r="D4" s="6" t="inlineStr">
        <is>
          <t>—</t>
        </is>
      </c>
      <c r="E4" s="6" t="inlineStr">
        <is>
          <t>1. /ads aç</t>
        </is>
      </c>
      <c r="F4" s="6" t="inlineStr">
        <is>
          <t>Aktif/pasif reklamlar listelenir.</t>
        </is>
      </c>
      <c r="G4" s="6" t="inlineStr"/>
      <c r="H4" s="14" t="inlineStr">
        <is>
          <t>Beklemede</t>
        </is>
      </c>
      <c r="I4" s="25" t="inlineStr"/>
      <c r="J4" s="25" t="inlineStr"/>
      <c r="K4" s="25" t="inlineStr"/>
      <c r="L4" s="14" t="inlineStr">
        <is>
          <t>Orta</t>
        </is>
      </c>
      <c r="M4" s="6" t="inlineStr"/>
    </row>
    <row r="5" ht="40" customHeight="1">
      <c r="A5" s="16" t="inlineStr">
        <is>
          <t>A14-002</t>
        </is>
      </c>
      <c r="B5" s="26" t="inlineStr">
        <is>
          <t>A14</t>
        </is>
      </c>
      <c r="C5" s="18" t="inlineStr">
        <is>
          <t>Yeni reklam oluştur</t>
        </is>
      </c>
      <c r="D5" s="18" t="inlineStr">
        <is>
          <t>—</t>
        </is>
      </c>
      <c r="E5" s="18" t="inlineStr">
        <is>
          <t>1. Yeni reklam, görsel, link, tarih</t>
        </is>
      </c>
      <c r="F5" s="18" t="inlineStr">
        <is>
          <t>Web'de hedef konumda görünür.</t>
        </is>
      </c>
      <c r="G5" s="18" t="inlineStr"/>
      <c r="H5" s="16" t="inlineStr">
        <is>
          <t>Beklemede</t>
        </is>
      </c>
      <c r="I5" s="26" t="inlineStr"/>
      <c r="J5" s="26" t="inlineStr"/>
      <c r="K5" s="26" t="inlineStr"/>
      <c r="L5" s="16" t="inlineStr">
        <is>
          <t>Orta</t>
        </is>
      </c>
      <c r="M5" s="18" t="inlineStr"/>
    </row>
    <row r="6" ht="40" customHeight="1">
      <c r="A6" s="14" t="inlineStr">
        <is>
          <t>A14-003</t>
        </is>
      </c>
      <c r="B6" s="25" t="inlineStr">
        <is>
          <t>A14</t>
        </is>
      </c>
      <c r="C6" s="6" t="inlineStr">
        <is>
          <t>Reklam pasifleştirme</t>
        </is>
      </c>
      <c r="D6" s="6" t="inlineStr">
        <is>
          <t>Aktif reklam.</t>
        </is>
      </c>
      <c r="E6" s="6" t="inlineStr">
        <is>
          <t>1. Pasif yap</t>
        </is>
      </c>
      <c r="F6" s="6" t="inlineStr">
        <is>
          <t>Web'den kalkar.</t>
        </is>
      </c>
      <c r="G6" s="6" t="inlineStr"/>
      <c r="H6" s="14" t="inlineStr">
        <is>
          <t>Beklemede</t>
        </is>
      </c>
      <c r="I6" s="25" t="inlineStr"/>
      <c r="J6" s="25" t="inlineStr"/>
      <c r="K6" s="25" t="inlineStr"/>
      <c r="L6" s="14" t="inlineStr">
        <is>
          <t>Orta</t>
        </is>
      </c>
      <c r="M6" s="6" t="inlineStr"/>
    </row>
    <row r="7" ht="40" customHeight="1">
      <c r="A7" s="16" t="inlineStr">
        <is>
          <t>A14-004</t>
        </is>
      </c>
      <c r="B7" s="26" t="inlineStr">
        <is>
          <t>A14</t>
        </is>
      </c>
      <c r="C7" s="18" t="inlineStr">
        <is>
          <t>Reklam tıklanma istatistiği</t>
        </is>
      </c>
      <c r="D7" s="18" t="inlineStr">
        <is>
          <t>—</t>
        </is>
      </c>
      <c r="E7" s="18" t="inlineStr">
        <is>
          <t>1. Detay aç</t>
        </is>
      </c>
      <c r="F7" s="18" t="inlineStr">
        <is>
          <t>Görüntülenme/tıklanma sayıları.</t>
        </is>
      </c>
      <c r="G7" s="18" t="inlineStr"/>
      <c r="H7" s="16" t="inlineStr">
        <is>
          <t>Beklemede</t>
        </is>
      </c>
      <c r="I7" s="26" t="inlineStr"/>
      <c r="J7" s="26" t="inlineStr"/>
      <c r="K7" s="26" t="inlineStr"/>
      <c r="L7" s="16" t="inlineStr">
        <is>
          <t>Orta</t>
        </is>
      </c>
      <c r="M7" s="18" t="inlineStr"/>
    </row>
    <row r="10">
      <c r="A10" s="27" t="inlineStr">
        <is>
          <t>Bu sayfadaki tüm senaryolar test edilmiş ve sonuçlar yukarıda işaretlenmiştir.</t>
        </is>
      </c>
    </row>
    <row r="11">
      <c r="A11" s="28" t="inlineStr">
        <is>
          <t>Test Eden (Tarodan)</t>
        </is>
      </c>
      <c r="D11" s="28" t="inlineStr">
        <is>
          <t>Tarih</t>
        </is>
      </c>
      <c r="G11" s="28" t="inlineStr">
        <is>
          <t>Onaylayan (Müşteri)</t>
        </is>
      </c>
      <c r="J11" s="28" t="inlineStr">
        <is>
          <t>Tarih</t>
        </is>
      </c>
    </row>
    <row r="12">
      <c r="A12" s="7" t="n"/>
      <c r="D12" s="7" t="n"/>
      <c r="G12" s="7" t="n"/>
      <c r="J12" s="7" t="n"/>
    </row>
  </sheetData>
  <mergeCells count="7">
    <mergeCell ref="G12:H12"/>
    <mergeCell ref="A1:M1"/>
    <mergeCell ref="J12:K12"/>
    <mergeCell ref="A10:M10"/>
    <mergeCell ref="A2:M2"/>
    <mergeCell ref="D12:E12"/>
    <mergeCell ref="A12:B12"/>
  </mergeCells>
  <conditionalFormatting sqref="H4:H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7" showDropDown="0" showInputMessage="0" showErrorMessage="0" allowBlank="1" errorTitle="Geçersiz değer" error="Lütfen listedeki seçeneklerden birini seçin." type="list">
      <formula1>"Beklemede,Geçti,Kaldı,Bloke,Yapılamadı,N/A"</formula1>
    </dataValidation>
    <dataValidation sqref="L4:L7" showDropDown="0" showInputMessage="0" showErrorMessage="0" allowBlank="1" type="list">
      <formula1>"Kritik,Yüksek,Orta,Düşük"</formula1>
    </dataValidation>
    <dataValidation sqref="K4:K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A15 — Admin: Takas (Trade) Yönetimi</t>
        </is>
      </c>
    </row>
    <row r="2" ht="28" customHeight="1">
      <c r="A2" s="24" t="inlineStr">
        <is>
          <t>Takas listesi, depo akışı, anlaşmazlık çözümü.</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A15-001</t>
        </is>
      </c>
      <c r="B4" s="25" t="inlineStr">
        <is>
          <t>A15</t>
        </is>
      </c>
      <c r="C4" s="6" t="inlineStr">
        <is>
          <t>Takas listesi</t>
        </is>
      </c>
      <c r="D4" s="6" t="inlineStr">
        <is>
          <t>—</t>
        </is>
      </c>
      <c r="E4" s="6" t="inlineStr">
        <is>
          <t>1. /trades aç</t>
        </is>
      </c>
      <c r="F4" s="6" t="inlineStr">
        <is>
          <t>Tüm takaslar durumlarıyla.</t>
        </is>
      </c>
      <c r="G4" s="6" t="inlineStr"/>
      <c r="H4" s="14" t="inlineStr">
        <is>
          <t>Beklemede</t>
        </is>
      </c>
      <c r="I4" s="25" t="inlineStr"/>
      <c r="J4" s="25" t="inlineStr"/>
      <c r="K4" s="25" t="inlineStr"/>
      <c r="L4" s="14" t="inlineStr">
        <is>
          <t>Orta</t>
        </is>
      </c>
      <c r="M4" s="6" t="inlineStr"/>
    </row>
    <row r="5" ht="40" customHeight="1">
      <c r="A5" s="16" t="inlineStr">
        <is>
          <t>A15-002</t>
        </is>
      </c>
      <c r="B5" s="26" t="inlineStr">
        <is>
          <t>A15</t>
        </is>
      </c>
      <c r="C5" s="18" t="inlineStr">
        <is>
          <t>Disputed takasları filtrele</t>
        </is>
      </c>
      <c r="D5" s="18" t="inlineStr">
        <is>
          <t>—</t>
        </is>
      </c>
      <c r="E5" s="18" t="inlineStr">
        <is>
          <t>1. Durum: Disputed</t>
        </is>
      </c>
      <c r="F5" s="18" t="inlineStr">
        <is>
          <t>Anlaşmazlık olanlar listelenir.</t>
        </is>
      </c>
      <c r="G5" s="18" t="inlineStr"/>
      <c r="H5" s="16" t="inlineStr">
        <is>
          <t>Beklemede</t>
        </is>
      </c>
      <c r="I5" s="26" t="inlineStr"/>
      <c r="J5" s="26" t="inlineStr"/>
      <c r="K5" s="26" t="inlineStr"/>
      <c r="L5" s="16" t="inlineStr">
        <is>
          <t>Orta</t>
        </is>
      </c>
      <c r="M5" s="18" t="inlineStr"/>
    </row>
    <row r="6" ht="40" customHeight="1">
      <c r="A6" s="14" t="inlineStr">
        <is>
          <t>A15-003</t>
        </is>
      </c>
      <c r="B6" s="25" t="inlineStr">
        <is>
          <t>A15</t>
        </is>
      </c>
      <c r="C6" s="6" t="inlineStr">
        <is>
          <t>Takas detayı</t>
        </is>
      </c>
      <c r="D6" s="6" t="inlineStr">
        <is>
          <t>—</t>
        </is>
      </c>
      <c r="E6" s="6" t="inlineStr">
        <is>
          <t>1. /trades/[id] aç</t>
        </is>
      </c>
      <c r="F6" s="6" t="inlineStr">
        <is>
          <t>Iki tarafın ürünleri, kargo bilgileri, mesaj geçmişi.</t>
        </is>
      </c>
      <c r="G6" s="6" t="inlineStr"/>
      <c r="H6" s="14" t="inlineStr">
        <is>
          <t>Beklemede</t>
        </is>
      </c>
      <c r="I6" s="25" t="inlineStr"/>
      <c r="J6" s="25" t="inlineStr"/>
      <c r="K6" s="25" t="inlineStr"/>
      <c r="L6" s="14" t="inlineStr">
        <is>
          <t>Orta</t>
        </is>
      </c>
      <c r="M6" s="6" t="inlineStr"/>
    </row>
    <row r="7" ht="40" customHeight="1">
      <c r="A7" s="16" t="inlineStr">
        <is>
          <t>A15-004</t>
        </is>
      </c>
      <c r="B7" s="26" t="inlineStr">
        <is>
          <t>A15</t>
        </is>
      </c>
      <c r="C7" s="18" t="inlineStr">
        <is>
          <t>Depo akışı: alındı işaretleme</t>
        </is>
      </c>
      <c r="D7" s="18" t="inlineStr">
        <is>
          <t>Ürünler depoya geldi.</t>
        </is>
      </c>
      <c r="E7" s="18" t="inlineStr">
        <is>
          <t>1. 'Depoda Alındı' işaretle</t>
        </is>
      </c>
      <c r="F7" s="18" t="inlineStr">
        <is>
          <t>Status 'admin_reviewing'.</t>
        </is>
      </c>
      <c r="G7" s="18" t="inlineStr"/>
      <c r="H7" s="16" t="inlineStr">
        <is>
          <t>Beklemede</t>
        </is>
      </c>
      <c r="I7" s="26" t="inlineStr"/>
      <c r="J7" s="26" t="inlineStr"/>
      <c r="K7" s="26" t="inlineStr"/>
      <c r="L7" s="16" t="inlineStr">
        <is>
          <t>Orta</t>
        </is>
      </c>
      <c r="M7" s="18" t="inlineStr"/>
    </row>
    <row r="8" ht="40" customHeight="1">
      <c r="A8" s="14" t="inlineStr">
        <is>
          <t>A15-005</t>
        </is>
      </c>
      <c r="B8" s="25" t="inlineStr">
        <is>
          <t>A15</t>
        </is>
      </c>
      <c r="C8" s="6" t="inlineStr">
        <is>
          <t>Depo onay / red</t>
        </is>
      </c>
      <c r="D8" s="6" t="inlineStr">
        <is>
          <t>Reviewing.</t>
        </is>
      </c>
      <c r="E8" s="6" t="inlineStr">
        <is>
          <t>1. Onay → karşıya gönder; red → iade</t>
        </is>
      </c>
      <c r="F8" s="6" t="inlineStr">
        <is>
          <t>İlgili akış başlar.</t>
        </is>
      </c>
      <c r="G8" s="6" t="inlineStr"/>
      <c r="H8" s="14" t="inlineStr">
        <is>
          <t>Beklemede</t>
        </is>
      </c>
      <c r="I8" s="25" t="inlineStr"/>
      <c r="J8" s="25" t="inlineStr"/>
      <c r="K8" s="25" t="inlineStr"/>
      <c r="L8" s="14" t="inlineStr">
        <is>
          <t>Orta</t>
        </is>
      </c>
      <c r="M8" s="6" t="inlineStr"/>
    </row>
    <row r="9" ht="40" customHeight="1">
      <c r="A9" s="16" t="inlineStr">
        <is>
          <t>A15-006</t>
        </is>
      </c>
      <c r="B9" s="26" t="inlineStr">
        <is>
          <t>A15</t>
        </is>
      </c>
      <c r="C9" s="18" t="inlineStr">
        <is>
          <t>Anlaşmazlık çözümü</t>
        </is>
      </c>
      <c r="D9" s="18" t="inlineStr">
        <is>
          <t>Disputed.</t>
        </is>
      </c>
      <c r="E9" s="18" t="inlineStr">
        <is>
          <t>1. Karar ver: Tamamla / İptal</t>
        </is>
      </c>
      <c r="F9" s="18" t="inlineStr">
        <is>
          <t>Takas sonlanır; gerekirse refund tetiklenir.</t>
        </is>
      </c>
      <c r="G9" s="18" t="inlineStr"/>
      <c r="H9" s="16" t="inlineStr">
        <is>
          <t>Beklemede</t>
        </is>
      </c>
      <c r="I9" s="26" t="inlineStr"/>
      <c r="J9" s="26" t="inlineStr"/>
      <c r="K9" s="26" t="inlineStr"/>
      <c r="L9" s="16" t="inlineStr">
        <is>
          <t>Yüksek</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A16 — Destek Talepleri</t>
        </is>
      </c>
    </row>
    <row r="2" ht="28" customHeight="1">
      <c r="A2" s="24" t="inlineStr">
        <is>
          <t>Bilet listesi, yanıt, durum, iç not.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A16-001</t>
        </is>
      </c>
      <c r="B4" s="25" t="inlineStr">
        <is>
          <t>A16</t>
        </is>
      </c>
      <c r="C4" s="6" t="inlineStr">
        <is>
          <t>Bilet listesi</t>
        </is>
      </c>
      <c r="D4" s="6" t="inlineStr">
        <is>
          <t>—</t>
        </is>
      </c>
      <c r="E4" s="6" t="inlineStr">
        <is>
          <t>1. /support aç</t>
        </is>
      </c>
      <c r="F4" s="6" t="inlineStr">
        <is>
          <t>Filtre (durum, öncelik, kategori) çalışır.</t>
        </is>
      </c>
      <c r="G4" s="6" t="inlineStr"/>
      <c r="H4" s="14" t="inlineStr">
        <is>
          <t>Beklemede</t>
        </is>
      </c>
      <c r="I4" s="25" t="inlineStr"/>
      <c r="J4" s="25" t="inlineStr"/>
      <c r="K4" s="25" t="inlineStr"/>
      <c r="L4" s="14" t="inlineStr">
        <is>
          <t>Orta</t>
        </is>
      </c>
      <c r="M4" s="6" t="inlineStr"/>
    </row>
    <row r="5" ht="40" customHeight="1">
      <c r="A5" s="16" t="inlineStr">
        <is>
          <t>A16-002</t>
        </is>
      </c>
      <c r="B5" s="26" t="inlineStr">
        <is>
          <t>A16</t>
        </is>
      </c>
      <c r="C5" s="18" t="inlineStr">
        <is>
          <t>Bilet detayı</t>
        </is>
      </c>
      <c r="D5" s="18" t="inlineStr">
        <is>
          <t>—</t>
        </is>
      </c>
      <c r="E5" s="18" t="inlineStr">
        <is>
          <t>1. /support/[id] aç</t>
        </is>
      </c>
      <c r="F5" s="18" t="inlineStr">
        <is>
          <t>Konuşma, kullanıcı bilgisi, ekler görünür.</t>
        </is>
      </c>
      <c r="G5" s="18" t="inlineStr"/>
      <c r="H5" s="16" t="inlineStr">
        <is>
          <t>Beklemede</t>
        </is>
      </c>
      <c r="I5" s="26" t="inlineStr"/>
      <c r="J5" s="26" t="inlineStr"/>
      <c r="K5" s="26" t="inlineStr"/>
      <c r="L5" s="16" t="inlineStr">
        <is>
          <t>Orta</t>
        </is>
      </c>
      <c r="M5" s="18" t="inlineStr"/>
    </row>
    <row r="6" ht="40" customHeight="1">
      <c r="A6" s="14" t="inlineStr">
        <is>
          <t>A16-003</t>
        </is>
      </c>
      <c r="B6" s="25" t="inlineStr">
        <is>
          <t>A16</t>
        </is>
      </c>
      <c r="C6" s="6" t="inlineStr">
        <is>
          <t>Yanıt gönderme</t>
        </is>
      </c>
      <c r="D6" s="6" t="inlineStr">
        <is>
          <t>—</t>
        </is>
      </c>
      <c r="E6" s="6" t="inlineStr">
        <is>
          <t>1. Yanıt yaz, gönder</t>
        </is>
      </c>
      <c r="F6" s="6" t="inlineStr">
        <is>
          <t>Müşteriye mail; konuşma güncellenir.</t>
        </is>
      </c>
      <c r="G6" s="6" t="inlineStr"/>
      <c r="H6" s="14" t="inlineStr">
        <is>
          <t>Beklemede</t>
        </is>
      </c>
      <c r="I6" s="25" t="inlineStr"/>
      <c r="J6" s="25" t="inlineStr"/>
      <c r="K6" s="25" t="inlineStr"/>
      <c r="L6" s="14" t="inlineStr">
        <is>
          <t>Orta</t>
        </is>
      </c>
      <c r="M6" s="6" t="inlineStr"/>
    </row>
    <row r="7" ht="40" customHeight="1">
      <c r="A7" s="16" t="inlineStr">
        <is>
          <t>A16-004</t>
        </is>
      </c>
      <c r="B7" s="26" t="inlineStr">
        <is>
          <t>A16</t>
        </is>
      </c>
      <c r="C7" s="18" t="inlineStr">
        <is>
          <t>İç not (sadece admin)</t>
        </is>
      </c>
      <c r="D7" s="18" t="inlineStr">
        <is>
          <t>—</t>
        </is>
      </c>
      <c r="E7" s="18" t="inlineStr">
        <is>
          <t>1. İç not checkbox + mesaj</t>
        </is>
      </c>
      <c r="F7" s="18" t="inlineStr">
        <is>
          <t>Sadece admin görür; müşteriye görünmez.</t>
        </is>
      </c>
      <c r="G7" s="18" t="inlineStr"/>
      <c r="H7" s="16" t="inlineStr">
        <is>
          <t>Beklemede</t>
        </is>
      </c>
      <c r="I7" s="26" t="inlineStr"/>
      <c r="J7" s="26" t="inlineStr"/>
      <c r="K7" s="26" t="inlineStr"/>
      <c r="L7" s="16" t="inlineStr">
        <is>
          <t>Orta</t>
        </is>
      </c>
      <c r="M7" s="18" t="inlineStr"/>
    </row>
    <row r="8" ht="40" customHeight="1">
      <c r="A8" s="14" t="inlineStr">
        <is>
          <t>A16-005</t>
        </is>
      </c>
      <c r="B8" s="25" t="inlineStr">
        <is>
          <t>A16</t>
        </is>
      </c>
      <c r="C8" s="6" t="inlineStr">
        <is>
          <t>Bilet kapatma</t>
        </is>
      </c>
      <c r="D8" s="6" t="inlineStr">
        <is>
          <t>—</t>
        </is>
      </c>
      <c r="E8" s="6" t="inlineStr">
        <is>
          <t>1. Status: Çözüldü → Kapat</t>
        </is>
      </c>
      <c r="F8" s="6" t="inlineStr">
        <is>
          <t>Yeni mesaj alamaz; otomatik feedback maili opsiyonel.</t>
        </is>
      </c>
      <c r="G8" s="6" t="inlineStr"/>
      <c r="H8" s="14" t="inlineStr">
        <is>
          <t>Beklemede</t>
        </is>
      </c>
      <c r="I8" s="25" t="inlineStr"/>
      <c r="J8" s="25" t="inlineStr"/>
      <c r="K8" s="25" t="inlineStr"/>
      <c r="L8" s="14" t="inlineStr">
        <is>
          <t>Orta</t>
        </is>
      </c>
      <c r="M8" s="6" t="inlineStr"/>
    </row>
    <row r="9" ht="40" customHeight="1">
      <c r="A9" s="16" t="inlineStr">
        <is>
          <t>A16-006</t>
        </is>
      </c>
      <c r="B9" s="26" t="inlineStr">
        <is>
          <t>A16</t>
        </is>
      </c>
      <c r="C9" s="18" t="inlineStr">
        <is>
          <t>Öncelik değiştirme</t>
        </is>
      </c>
      <c r="D9" s="18" t="inlineStr">
        <is>
          <t>—</t>
        </is>
      </c>
      <c r="E9" s="18" t="inlineStr">
        <is>
          <t>1. Acil yap</t>
        </is>
      </c>
      <c r="F9" s="18" t="inlineStr">
        <is>
          <t>Listede üste çıkar; renkli rozet.</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A17 — Rol ve İzin Yönetimi</t>
        </is>
      </c>
    </row>
    <row r="2" ht="28" customHeight="1">
      <c r="A2" s="24" t="inlineStr">
        <is>
          <t>Rol oluşturma, izin atama, admin kullanıcı ekleme.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A17-001</t>
        </is>
      </c>
      <c r="B4" s="25" t="inlineStr">
        <is>
          <t>A17</t>
        </is>
      </c>
      <c r="C4" s="6" t="inlineStr">
        <is>
          <t>Mevcut roller</t>
        </is>
      </c>
      <c r="D4" s="6" t="inlineStr">
        <is>
          <t>—</t>
        </is>
      </c>
      <c r="E4" s="6" t="inlineStr">
        <is>
          <t>1. /roles aç</t>
        </is>
      </c>
      <c r="F4" s="6" t="inlineStr">
        <is>
          <t>Süper Admin, Yönetici, Moderatör listelenir.</t>
        </is>
      </c>
      <c r="G4" s="6" t="inlineStr"/>
      <c r="H4" s="14" t="inlineStr">
        <is>
          <t>Beklemede</t>
        </is>
      </c>
      <c r="I4" s="25" t="inlineStr"/>
      <c r="J4" s="25" t="inlineStr"/>
      <c r="K4" s="25" t="inlineStr"/>
      <c r="L4" s="14" t="inlineStr">
        <is>
          <t>Orta</t>
        </is>
      </c>
      <c r="M4" s="6" t="inlineStr"/>
    </row>
    <row r="5" ht="40" customHeight="1">
      <c r="A5" s="16" t="inlineStr">
        <is>
          <t>A17-002</t>
        </is>
      </c>
      <c r="B5" s="26" t="inlineStr">
        <is>
          <t>A17</t>
        </is>
      </c>
      <c r="C5" s="18" t="inlineStr">
        <is>
          <t>Yeni rol oluşturma</t>
        </is>
      </c>
      <c r="D5" s="18" t="inlineStr">
        <is>
          <t>—</t>
        </is>
      </c>
      <c r="E5" s="18" t="inlineStr">
        <is>
          <t>1. Yeni rol, izinleri seç, kaydet</t>
        </is>
      </c>
      <c r="F5" s="18" t="inlineStr">
        <is>
          <t>Yeni rol ataması yapılabilir.</t>
        </is>
      </c>
      <c r="G5" s="18" t="inlineStr"/>
      <c r="H5" s="16" t="inlineStr">
        <is>
          <t>Beklemede</t>
        </is>
      </c>
      <c r="I5" s="26" t="inlineStr"/>
      <c r="J5" s="26" t="inlineStr"/>
      <c r="K5" s="26" t="inlineStr"/>
      <c r="L5" s="16" t="inlineStr">
        <is>
          <t>Orta</t>
        </is>
      </c>
      <c r="M5" s="18" t="inlineStr"/>
    </row>
    <row r="6" ht="40" customHeight="1">
      <c r="A6" s="14" t="inlineStr">
        <is>
          <t>A17-003</t>
        </is>
      </c>
      <c r="B6" s="25" t="inlineStr">
        <is>
          <t>A17</t>
        </is>
      </c>
      <c r="C6" s="6" t="inlineStr">
        <is>
          <t>Rol izinlerini değiştirme</t>
        </is>
      </c>
      <c r="D6" s="6" t="inlineStr">
        <is>
          <t>—</t>
        </is>
      </c>
      <c r="E6" s="6" t="inlineStr">
        <is>
          <t>1. Bir rolü düzenle, izinleri kaldır/ekle</t>
        </is>
      </c>
      <c r="F6" s="6" t="inlineStr">
        <is>
          <t>Aktif kullanıcılar bir sonraki istekte yeni izinlerle çalışır.</t>
        </is>
      </c>
      <c r="G6" s="6" t="inlineStr"/>
      <c r="H6" s="14" t="inlineStr">
        <is>
          <t>Beklemede</t>
        </is>
      </c>
      <c r="I6" s="25" t="inlineStr"/>
      <c r="J6" s="25" t="inlineStr"/>
      <c r="K6" s="25" t="inlineStr"/>
      <c r="L6" s="14" t="inlineStr">
        <is>
          <t>Orta</t>
        </is>
      </c>
      <c r="M6" s="6" t="inlineStr"/>
    </row>
    <row r="7" ht="40" customHeight="1">
      <c r="A7" s="16" t="inlineStr">
        <is>
          <t>A17-004</t>
        </is>
      </c>
      <c r="B7" s="26" t="inlineStr">
        <is>
          <t>A17</t>
        </is>
      </c>
      <c r="C7" s="18" t="inlineStr">
        <is>
          <t>Rol silme</t>
        </is>
      </c>
      <c r="D7" s="18" t="inlineStr">
        <is>
          <t>Kimsenin atanmadığı rol.</t>
        </is>
      </c>
      <c r="E7" s="18" t="inlineStr">
        <is>
          <t>1. Sil → onay</t>
        </is>
      </c>
      <c r="F7" s="18" t="inlineStr">
        <is>
          <t>Silinir.</t>
        </is>
      </c>
      <c r="G7" s="18" t="inlineStr"/>
      <c r="H7" s="16" t="inlineStr">
        <is>
          <t>Beklemede</t>
        </is>
      </c>
      <c r="I7" s="26" t="inlineStr"/>
      <c r="J7" s="26" t="inlineStr"/>
      <c r="K7" s="26" t="inlineStr"/>
      <c r="L7" s="16" t="inlineStr">
        <is>
          <t>Orta</t>
        </is>
      </c>
      <c r="M7" s="18" t="inlineStr"/>
    </row>
    <row r="8" ht="40" customHeight="1">
      <c r="A8" s="14" t="inlineStr">
        <is>
          <t>A17-005</t>
        </is>
      </c>
      <c r="B8" s="25" t="inlineStr">
        <is>
          <t>A17</t>
        </is>
      </c>
      <c r="C8" s="6" t="inlineStr">
        <is>
          <t>Atanmış rolü silmeye çalışma</t>
        </is>
      </c>
      <c r="D8" s="6" t="inlineStr">
        <is>
          <t>Kullanıcısı olan rol.</t>
        </is>
      </c>
      <c r="E8" s="6" t="inlineStr">
        <is>
          <t>1. Silmeye çalış</t>
        </is>
      </c>
      <c r="F8" s="6" t="inlineStr">
        <is>
          <t>Hata; önce kullanıcıların rollerini değiştir uyarısı.</t>
        </is>
      </c>
      <c r="G8" s="6" t="inlineStr"/>
      <c r="H8" s="14" t="inlineStr">
        <is>
          <t>Beklemede</t>
        </is>
      </c>
      <c r="I8" s="25" t="inlineStr"/>
      <c r="J8" s="25" t="inlineStr"/>
      <c r="K8" s="25" t="inlineStr"/>
      <c r="L8" s="14" t="inlineStr">
        <is>
          <t>Orta</t>
        </is>
      </c>
      <c r="M8" s="6" t="inlineStr"/>
    </row>
    <row r="9" ht="40" customHeight="1">
      <c r="A9" s="16" t="inlineStr">
        <is>
          <t>A17-006</t>
        </is>
      </c>
      <c r="B9" s="26" t="inlineStr">
        <is>
          <t>A17</t>
        </is>
      </c>
      <c r="C9" s="18" t="inlineStr">
        <is>
          <t>Yeni admin kullanıcı ekleme</t>
        </is>
      </c>
      <c r="D9" s="18" t="inlineStr">
        <is>
          <t>—</t>
        </is>
      </c>
      <c r="E9" s="18" t="inlineStr">
        <is>
          <t>1. Admin Kullanıcılar tab → Yeni</t>
        </is>
      </c>
      <c r="F9" s="18" t="inlineStr">
        <is>
          <t>Davet maili / hesap oluşur; rol atanır.</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A18 — Genel Ayarlar, İlan, Takas, Mesaj, Üyelik, Ödeme</t>
        </is>
      </c>
    </row>
    <row r="2" ht="28" customHeight="1">
      <c r="A2" s="24" t="inlineStr">
        <is>
          <t>Tab tab tüm settings ayarları.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A18-001</t>
        </is>
      </c>
      <c r="B4" s="25" t="inlineStr">
        <is>
          <t>A18</t>
        </is>
      </c>
      <c r="C4" s="6" t="inlineStr">
        <is>
          <t>Genel ayarlar (logo, dil, para birimi)</t>
        </is>
      </c>
      <c r="D4" s="6" t="inlineStr">
        <is>
          <t>—</t>
        </is>
      </c>
      <c r="E4" s="6" t="inlineStr">
        <is>
          <t>1. /settings → Genel tab, değiştir, kaydet</t>
        </is>
      </c>
      <c r="F4" s="6" t="inlineStr">
        <is>
          <t>Web tarafında değişiklik anında veya cache TTL sonrası yansır.</t>
        </is>
      </c>
      <c r="G4" s="6" t="inlineStr"/>
      <c r="H4" s="14" t="inlineStr">
        <is>
          <t>Beklemede</t>
        </is>
      </c>
      <c r="I4" s="25" t="inlineStr"/>
      <c r="J4" s="25" t="inlineStr"/>
      <c r="K4" s="25" t="inlineStr"/>
      <c r="L4" s="14" t="inlineStr">
        <is>
          <t>Orta</t>
        </is>
      </c>
      <c r="M4" s="6" t="inlineStr"/>
    </row>
    <row r="5" ht="40" customHeight="1">
      <c r="A5" s="16" t="inlineStr">
        <is>
          <t>A18-002</t>
        </is>
      </c>
      <c r="B5" s="26" t="inlineStr">
        <is>
          <t>A18</t>
        </is>
      </c>
      <c r="C5" s="18" t="inlineStr">
        <is>
          <t>İlan limitleri tier başına</t>
        </is>
      </c>
      <c r="D5" s="18" t="inlineStr">
        <is>
          <t>—</t>
        </is>
      </c>
      <c r="E5" s="18" t="inlineStr">
        <is>
          <t>1. İlan tab, limitleri değiştir</t>
        </is>
      </c>
      <c r="F5" s="18" t="inlineStr">
        <is>
          <t>Yeni limit tüm yeni ilan oluşturma denemelerinde uygulanır.</t>
        </is>
      </c>
      <c r="G5" s="18" t="inlineStr"/>
      <c r="H5" s="16" t="inlineStr">
        <is>
          <t>Beklemede</t>
        </is>
      </c>
      <c r="I5" s="26" t="inlineStr"/>
      <c r="J5" s="26" t="inlineStr"/>
      <c r="K5" s="26" t="inlineStr"/>
      <c r="L5" s="16" t="inlineStr">
        <is>
          <t>Orta</t>
        </is>
      </c>
      <c r="M5" s="18" t="inlineStr"/>
    </row>
    <row r="6" ht="40" customHeight="1">
      <c r="A6" s="14" t="inlineStr">
        <is>
          <t>A18-003</t>
        </is>
      </c>
      <c r="B6" s="25" t="inlineStr">
        <is>
          <t>A18</t>
        </is>
      </c>
      <c r="C6" s="6" t="inlineStr">
        <is>
          <t>Takas zamanlamaları</t>
        </is>
      </c>
      <c r="D6" s="6" t="inlineStr">
        <is>
          <t>—</t>
        </is>
      </c>
      <c r="E6" s="6" t="inlineStr">
        <is>
          <t>1. Takas tab, response/shipping/onay sürelerini değiştir</t>
        </is>
      </c>
      <c r="F6" s="6" t="inlineStr">
        <is>
          <t>Yeni takaslarda yeni süreler kullanılır.</t>
        </is>
      </c>
      <c r="G6" s="6" t="inlineStr"/>
      <c r="H6" s="14" t="inlineStr">
        <is>
          <t>Beklemede</t>
        </is>
      </c>
      <c r="I6" s="25" t="inlineStr"/>
      <c r="J6" s="25" t="inlineStr"/>
      <c r="K6" s="25" t="inlineStr"/>
      <c r="L6" s="14" t="inlineStr">
        <is>
          <t>Orta</t>
        </is>
      </c>
      <c r="M6" s="6" t="inlineStr"/>
    </row>
    <row r="7" ht="40" customHeight="1">
      <c r="A7" s="16" t="inlineStr">
        <is>
          <t>A18-004</t>
        </is>
      </c>
      <c r="B7" s="26" t="inlineStr">
        <is>
          <t>A18</t>
        </is>
      </c>
      <c r="C7" s="18" t="inlineStr">
        <is>
          <t>Mesaj uzunluk sınırı</t>
        </is>
      </c>
      <c r="D7" s="18" t="inlineStr">
        <is>
          <t>—</t>
        </is>
      </c>
      <c r="E7" s="18" t="inlineStr">
        <is>
          <t>1. Mesaj tab, max length değiştir</t>
        </is>
      </c>
      <c r="F7" s="18" t="inlineStr">
        <is>
          <t>Web mesaj kutusunda yeni sınır uygulanır.</t>
        </is>
      </c>
      <c r="G7" s="18" t="inlineStr"/>
      <c r="H7" s="16" t="inlineStr">
        <is>
          <t>Beklemede</t>
        </is>
      </c>
      <c r="I7" s="26" t="inlineStr"/>
      <c r="J7" s="26" t="inlineStr"/>
      <c r="K7" s="26" t="inlineStr"/>
      <c r="L7" s="16" t="inlineStr">
        <is>
          <t>Orta</t>
        </is>
      </c>
      <c r="M7" s="18" t="inlineStr"/>
    </row>
    <row r="8" ht="40" customHeight="1">
      <c r="A8" s="14" t="inlineStr">
        <is>
          <t>A18-005</t>
        </is>
      </c>
      <c r="B8" s="25" t="inlineStr">
        <is>
          <t>A18</t>
        </is>
      </c>
      <c r="C8" s="6" t="inlineStr">
        <is>
          <t>Üyelik fiyatları</t>
        </is>
      </c>
      <c r="D8" s="6" t="inlineStr">
        <is>
          <t>—</t>
        </is>
      </c>
      <c r="E8" s="6" t="inlineStr">
        <is>
          <t>1. Üyelik tab, fiyatları değiştir</t>
        </is>
      </c>
      <c r="F8" s="6" t="inlineStr">
        <is>
          <t>/pricing sayfasında güncellenir.</t>
        </is>
      </c>
      <c r="G8" s="6" t="inlineStr"/>
      <c r="H8" s="14" t="inlineStr">
        <is>
          <t>Beklemede</t>
        </is>
      </c>
      <c r="I8" s="25" t="inlineStr"/>
      <c r="J8" s="25" t="inlineStr"/>
      <c r="K8" s="25" t="inlineStr"/>
      <c r="L8" s="14" t="inlineStr">
        <is>
          <t>Orta</t>
        </is>
      </c>
      <c r="M8" s="6" t="inlineStr"/>
    </row>
    <row r="9" ht="40" customHeight="1">
      <c r="A9" s="16" t="inlineStr">
        <is>
          <t>A18-006</t>
        </is>
      </c>
      <c r="B9" s="26" t="inlineStr">
        <is>
          <t>A18</t>
        </is>
      </c>
      <c r="C9" s="18" t="inlineStr">
        <is>
          <t>PayTR ayarları (Test/Canlı geçiş)</t>
        </is>
      </c>
      <c r="D9" s="18" t="inlineStr">
        <is>
          <t>—</t>
        </is>
      </c>
      <c r="E9" s="18" t="inlineStr">
        <is>
          <t>1. /settings/payments aç, Live moda al</t>
        </is>
      </c>
      <c r="F9" s="18" t="inlineStr">
        <is>
          <t>Confirmation diyalogu; ardından canlı keys kullanılır.</t>
        </is>
      </c>
      <c r="G9" s="18" t="inlineStr"/>
      <c r="H9" s="16" t="inlineStr">
        <is>
          <t>Beklemede</t>
        </is>
      </c>
      <c r="I9" s="26" t="inlineStr"/>
      <c r="J9" s="26" t="inlineStr"/>
      <c r="K9" s="26" t="inlineStr"/>
      <c r="L9" s="16" t="inlineStr">
        <is>
          <t>Kritik</t>
        </is>
      </c>
      <c r="M9" s="18" t="inlineStr"/>
    </row>
    <row r="10" ht="40" customHeight="1">
      <c r="A10" s="14" t="inlineStr">
        <is>
          <t>A18-007</t>
        </is>
      </c>
      <c r="B10" s="25" t="inlineStr">
        <is>
          <t>A18</t>
        </is>
      </c>
      <c r="C10" s="6" t="inlineStr">
        <is>
          <t>PayTR test ödemesi</t>
        </is>
      </c>
      <c r="D10" s="6" t="inlineStr">
        <is>
          <t>Test mod aktif.</t>
        </is>
      </c>
      <c r="E10" s="6" t="inlineStr">
        <is>
          <t>1. Web'den test ödeme yap</t>
        </is>
      </c>
      <c r="F10" s="6" t="inlineStr">
        <is>
          <t>Sandbox işlemi başarılı.</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A19 — Audit ve Sistem Logları</t>
        </is>
      </c>
    </row>
    <row r="2" ht="28" customHeight="1">
      <c r="A2" s="24" t="inlineStr">
        <is>
          <t>Admin işlem geçmişi, hata logları.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A19-001</t>
        </is>
      </c>
      <c r="B4" s="25" t="inlineStr">
        <is>
          <t>A19</t>
        </is>
      </c>
      <c r="C4" s="6" t="inlineStr">
        <is>
          <t>Audit log listesi</t>
        </is>
      </c>
      <c r="D4" s="6" t="inlineStr">
        <is>
          <t>Geçmiş admin aksiyonları.</t>
        </is>
      </c>
      <c r="E4" s="6" t="inlineStr">
        <is>
          <t>1. /audit-logs aç</t>
        </is>
      </c>
      <c r="F4" s="6" t="inlineStr">
        <is>
          <t>Aksiyon, kullanıcı, zaman, IP, eski/yeni değer görünür.</t>
        </is>
      </c>
      <c r="G4" s="6" t="inlineStr"/>
      <c r="H4" s="14" t="inlineStr">
        <is>
          <t>Beklemede</t>
        </is>
      </c>
      <c r="I4" s="25" t="inlineStr"/>
      <c r="J4" s="25" t="inlineStr"/>
      <c r="K4" s="25" t="inlineStr"/>
      <c r="L4" s="14" t="inlineStr">
        <is>
          <t>Yüksek</t>
        </is>
      </c>
      <c r="M4" s="6" t="inlineStr"/>
    </row>
    <row r="5" ht="40" customHeight="1">
      <c r="A5" s="16" t="inlineStr">
        <is>
          <t>A19-002</t>
        </is>
      </c>
      <c r="B5" s="26" t="inlineStr">
        <is>
          <t>A19</t>
        </is>
      </c>
      <c r="C5" s="18" t="inlineStr">
        <is>
          <t>Audit log filtreleme</t>
        </is>
      </c>
      <c r="D5" s="18" t="inlineStr">
        <is>
          <t>—</t>
        </is>
      </c>
      <c r="E5" s="18" t="inlineStr">
        <is>
          <t>1. Aksiyon türü filtre</t>
        </is>
      </c>
      <c r="F5" s="18" t="inlineStr">
        <is>
          <t>Doğru filtreleme.</t>
        </is>
      </c>
      <c r="G5" s="18" t="inlineStr"/>
      <c r="H5" s="16" t="inlineStr">
        <is>
          <t>Beklemede</t>
        </is>
      </c>
      <c r="I5" s="26" t="inlineStr"/>
      <c r="J5" s="26" t="inlineStr"/>
      <c r="K5" s="26" t="inlineStr"/>
      <c r="L5" s="16" t="inlineStr">
        <is>
          <t>Orta</t>
        </is>
      </c>
      <c r="M5" s="18" t="inlineStr"/>
    </row>
    <row r="6" ht="40" customHeight="1">
      <c r="A6" s="14" t="inlineStr">
        <is>
          <t>A19-003</t>
        </is>
      </c>
      <c r="B6" s="25" t="inlineStr">
        <is>
          <t>A19</t>
        </is>
      </c>
      <c r="C6" s="6" t="inlineStr">
        <is>
          <t>Sistem log</t>
        </is>
      </c>
      <c r="D6" s="6" t="inlineStr">
        <is>
          <t>—</t>
        </is>
      </c>
      <c r="E6" s="6" t="inlineStr">
        <is>
          <t>1. /logs aç</t>
        </is>
      </c>
      <c r="F6" s="6" t="inlineStr">
        <is>
          <t>Hata/uyarı log'ları, severity, stack.</t>
        </is>
      </c>
      <c r="G6" s="6" t="inlineStr"/>
      <c r="H6" s="14" t="inlineStr">
        <is>
          <t>Beklemede</t>
        </is>
      </c>
      <c r="I6" s="25" t="inlineStr"/>
      <c r="J6" s="25" t="inlineStr"/>
      <c r="K6" s="25" t="inlineStr"/>
      <c r="L6" s="14" t="inlineStr">
        <is>
          <t>Orta</t>
        </is>
      </c>
      <c r="M6" s="6" t="inlineStr"/>
    </row>
    <row r="7" ht="40" customHeight="1">
      <c r="A7" s="16" t="inlineStr">
        <is>
          <t>A19-004</t>
        </is>
      </c>
      <c r="B7" s="26" t="inlineStr">
        <is>
          <t>A19</t>
        </is>
      </c>
      <c r="C7" s="18" t="inlineStr">
        <is>
          <t>Genel bildirim yayınlama</t>
        </is>
      </c>
      <c r="D7" s="18" t="inlineStr">
        <is>
          <t>—</t>
        </is>
      </c>
      <c r="E7" s="18" t="inlineStr">
        <is>
          <t>1. /notifications → broadcast</t>
        </is>
      </c>
      <c r="F7" s="18" t="inlineStr">
        <is>
          <t>Tüm kullanıcılara in-app bildirim.</t>
        </is>
      </c>
      <c r="G7" s="18" t="inlineStr"/>
      <c r="H7" s="16" t="inlineStr">
        <is>
          <t>Beklemede</t>
        </is>
      </c>
      <c r="I7" s="26" t="inlineStr"/>
      <c r="J7" s="26" t="inlineStr"/>
      <c r="K7" s="26" t="inlineStr"/>
      <c r="L7" s="16" t="inlineStr">
        <is>
          <t>Orta</t>
        </is>
      </c>
      <c r="M7" s="18" t="inlineStr"/>
    </row>
    <row r="10">
      <c r="A10" s="27" t="inlineStr">
        <is>
          <t>Bu sayfadaki tüm senaryolar test edilmiş ve sonuçlar yukarıda işaretlenmiştir.</t>
        </is>
      </c>
    </row>
    <row r="11">
      <c r="A11" s="28" t="inlineStr">
        <is>
          <t>Test Eden (Tarodan)</t>
        </is>
      </c>
      <c r="D11" s="28" t="inlineStr">
        <is>
          <t>Tarih</t>
        </is>
      </c>
      <c r="G11" s="28" t="inlineStr">
        <is>
          <t>Onaylayan (Müşteri)</t>
        </is>
      </c>
      <c r="J11" s="28" t="inlineStr">
        <is>
          <t>Tarih</t>
        </is>
      </c>
    </row>
    <row r="12">
      <c r="A12" s="7" t="n"/>
      <c r="D12" s="7" t="n"/>
      <c r="G12" s="7" t="n"/>
      <c r="J12" s="7" t="n"/>
    </row>
  </sheetData>
  <mergeCells count="7">
    <mergeCell ref="G12:H12"/>
    <mergeCell ref="A1:M1"/>
    <mergeCell ref="J12:K12"/>
    <mergeCell ref="A10:M10"/>
    <mergeCell ref="A2:M2"/>
    <mergeCell ref="D12:E12"/>
    <mergeCell ref="A12:B12"/>
  </mergeCells>
  <conditionalFormatting sqref="H4:H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7" showDropDown="0" showInputMessage="0" showErrorMessage="0" allowBlank="1" errorTitle="Geçersiz değer" error="Lütfen listedeki seçeneklerden birini seçin." type="list">
      <formula1>"Beklemede,Geçti,Kaldı,Bloke,Yapılamadı,N/A"</formula1>
    </dataValidation>
    <dataValidation sqref="L4:L7" showDropDown="0" showInputMessage="0" showErrorMessage="0" allowBlank="1" type="list">
      <formula1>"Kritik,Yüksek,Orta,Düşük"</formula1>
    </dataValidation>
    <dataValidation sqref="K4:K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E01 — Uçtan Uca: Misafir Satın Alma → Teslimat</t>
        </is>
      </c>
    </row>
    <row r="2" ht="28" customHeight="1">
      <c r="A2" s="24" t="inlineStr">
        <is>
          <t>Üye olmadan: ürün gör → sepet → OTP checkout → ödeme → kargo → teslim → mailler.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E01-001</t>
        </is>
      </c>
      <c r="B4" s="25" t="inlineStr">
        <is>
          <t>E01</t>
        </is>
      </c>
      <c r="C4" s="6" t="inlineStr">
        <is>
          <t>Adım 1: Misafir ürün arama</t>
        </is>
      </c>
      <c r="D4" s="6" t="inlineStr">
        <is>
          <t>Çıkış yapılmış oturum.</t>
        </is>
      </c>
      <c r="E4" s="6" t="inlineStr">
        <is>
          <t>1. Anasayfa → ürün ara → ürün detayını aç</t>
        </is>
      </c>
      <c r="F4" s="6" t="inlineStr">
        <is>
          <t>Ürün detayı sorunsuz açılır.</t>
        </is>
      </c>
      <c r="G4" s="6" t="inlineStr"/>
      <c r="H4" s="14" t="inlineStr">
        <is>
          <t>Beklemede</t>
        </is>
      </c>
      <c r="I4" s="25" t="inlineStr"/>
      <c r="J4" s="25" t="inlineStr"/>
      <c r="K4" s="25" t="inlineStr"/>
      <c r="L4" s="14" t="inlineStr">
        <is>
          <t>Kritik</t>
        </is>
      </c>
      <c r="M4" s="6" t="inlineStr"/>
    </row>
    <row r="5" ht="40" customHeight="1">
      <c r="A5" s="16" t="inlineStr">
        <is>
          <t>E01-002</t>
        </is>
      </c>
      <c r="B5" s="26" t="inlineStr">
        <is>
          <t>E01</t>
        </is>
      </c>
      <c r="C5" s="18" t="inlineStr">
        <is>
          <t>Adım 2: Sepete ekle (misafir)</t>
        </is>
      </c>
      <c r="D5" s="18" t="inlineStr">
        <is>
          <t>—</t>
        </is>
      </c>
      <c r="E5" s="18" t="inlineStr">
        <is>
          <t>1. 'Sepete Ekle' butonuna bas</t>
        </is>
      </c>
      <c r="F5" s="18" t="inlineStr">
        <is>
          <t>Misafir sepetine eklenir; sayaç +1.</t>
        </is>
      </c>
      <c r="G5" s="18" t="inlineStr"/>
      <c r="H5" s="16" t="inlineStr">
        <is>
          <t>Beklemede</t>
        </is>
      </c>
      <c r="I5" s="26" t="inlineStr"/>
      <c r="J5" s="26" t="inlineStr"/>
      <c r="K5" s="26" t="inlineStr"/>
      <c r="L5" s="16" t="inlineStr">
        <is>
          <t>Orta</t>
        </is>
      </c>
      <c r="M5" s="18" t="inlineStr"/>
    </row>
    <row r="6" ht="40" customHeight="1">
      <c r="A6" s="14" t="inlineStr">
        <is>
          <t>E01-003</t>
        </is>
      </c>
      <c r="B6" s="25" t="inlineStr">
        <is>
          <t>E01</t>
        </is>
      </c>
      <c r="C6" s="6" t="inlineStr">
        <is>
          <t>Adım 3: Misafir checkout başlatma</t>
        </is>
      </c>
      <c r="D6" s="6" t="inlineStr">
        <is>
          <t>Sepet dolu.</t>
        </is>
      </c>
      <c r="E6" s="6" t="inlineStr">
        <is>
          <t>1. Sepete git → 'Ödemeye Geç'</t>
        </is>
      </c>
      <c r="F6" s="6" t="inlineStr">
        <is>
          <t>Misafir e-posta adımı gösterilir.</t>
        </is>
      </c>
      <c r="G6" s="6" t="inlineStr"/>
      <c r="H6" s="14" t="inlineStr">
        <is>
          <t>Beklemede</t>
        </is>
      </c>
      <c r="I6" s="25" t="inlineStr"/>
      <c r="J6" s="25" t="inlineStr"/>
      <c r="K6" s="25" t="inlineStr"/>
      <c r="L6" s="14" t="inlineStr">
        <is>
          <t>Orta</t>
        </is>
      </c>
      <c r="M6" s="6" t="inlineStr"/>
    </row>
    <row r="7" ht="40" customHeight="1">
      <c r="A7" s="16" t="inlineStr">
        <is>
          <t>E01-004</t>
        </is>
      </c>
      <c r="B7" s="26" t="inlineStr">
        <is>
          <t>E01</t>
        </is>
      </c>
      <c r="C7" s="18" t="inlineStr">
        <is>
          <t>Adım 4: E-posta OTP doğrulama</t>
        </is>
      </c>
      <c r="D7" s="18" t="inlineStr">
        <is>
          <t>—</t>
        </is>
      </c>
      <c r="E7" s="18" t="inlineStr">
        <is>
          <t>1. E-posta gir → kod al → kodu gir</t>
        </is>
      </c>
      <c r="F7" s="18" t="inlineStr">
        <is>
          <t>Doğrulama OK.</t>
        </is>
      </c>
      <c r="G7" s="18" t="inlineStr"/>
      <c r="H7" s="16" t="inlineStr">
        <is>
          <t>Beklemede</t>
        </is>
      </c>
      <c r="I7" s="26" t="inlineStr"/>
      <c r="J7" s="26" t="inlineStr"/>
      <c r="K7" s="26" t="inlineStr"/>
      <c r="L7" s="16" t="inlineStr">
        <is>
          <t>Orta</t>
        </is>
      </c>
      <c r="M7" s="18" t="inlineStr"/>
    </row>
    <row r="8" ht="40" customHeight="1">
      <c r="A8" s="14" t="inlineStr">
        <is>
          <t>E01-005</t>
        </is>
      </c>
      <c r="B8" s="25" t="inlineStr">
        <is>
          <t>E01</t>
        </is>
      </c>
      <c r="C8" s="6" t="inlineStr">
        <is>
          <t>Adım 5: Adres ve ödeme</t>
        </is>
      </c>
      <c r="D8" s="6" t="inlineStr">
        <is>
          <t>—</t>
        </is>
      </c>
      <c r="E8" s="6" t="inlineStr">
        <is>
          <t>1. Adres gir, sözleşmeyi onayla, ödemeye geç, PayTR ile öde</t>
        </is>
      </c>
      <c r="F8" s="6" t="inlineStr">
        <is>
          <t>Ödeme başarılı; /checkout/success açılır.</t>
        </is>
      </c>
      <c r="G8" s="6" t="inlineStr"/>
      <c r="H8" s="14" t="inlineStr">
        <is>
          <t>Beklemede</t>
        </is>
      </c>
      <c r="I8" s="25" t="inlineStr"/>
      <c r="J8" s="25" t="inlineStr"/>
      <c r="K8" s="25" t="inlineStr"/>
      <c r="L8" s="14" t="inlineStr">
        <is>
          <t>Orta</t>
        </is>
      </c>
      <c r="M8" s="6" t="inlineStr"/>
    </row>
    <row r="9" ht="40" customHeight="1">
      <c r="A9" s="16" t="inlineStr">
        <is>
          <t>E01-006</t>
        </is>
      </c>
      <c r="B9" s="26" t="inlineStr">
        <is>
          <t>E01</t>
        </is>
      </c>
      <c r="C9" s="18" t="inlineStr">
        <is>
          <t>Adım 6: Sipariş onay maili</t>
        </is>
      </c>
      <c r="D9" s="18" t="inlineStr">
        <is>
          <t>—</t>
        </is>
      </c>
      <c r="E9" s="18" t="inlineStr">
        <is>
          <t>1. E-postayı kontrol et</t>
        </is>
      </c>
      <c r="F9" s="18" t="inlineStr">
        <is>
          <t>Sipariş onay maili gelir; sipariş no, ürün, adres, takip linki içerir.</t>
        </is>
      </c>
      <c r="G9" s="18" t="inlineStr"/>
      <c r="H9" s="16" t="inlineStr">
        <is>
          <t>Beklemede</t>
        </is>
      </c>
      <c r="I9" s="26" t="inlineStr"/>
      <c r="J9" s="26" t="inlineStr"/>
      <c r="K9" s="26" t="inlineStr"/>
      <c r="L9" s="16" t="inlineStr">
        <is>
          <t>Orta</t>
        </is>
      </c>
      <c r="M9" s="18" t="inlineStr"/>
    </row>
    <row r="10" ht="40" customHeight="1">
      <c r="A10" s="14" t="inlineStr">
        <is>
          <t>E01-007</t>
        </is>
      </c>
      <c r="B10" s="25" t="inlineStr">
        <is>
          <t>E01</t>
        </is>
      </c>
      <c r="C10" s="6" t="inlineStr">
        <is>
          <t>Adım 7: Satıcıya bildirim</t>
        </is>
      </c>
      <c r="D10" s="6" t="inlineStr">
        <is>
          <t>—</t>
        </is>
      </c>
      <c r="E10" s="6" t="inlineStr">
        <is>
          <t>1. Satıcı tarafında dashboard kontrol</t>
        </is>
      </c>
      <c r="F10" s="6" t="inlineStr">
        <is>
          <t>'Yeni sipariş' bildirimi/mail.</t>
        </is>
      </c>
      <c r="G10" s="6" t="inlineStr"/>
      <c r="H10" s="14" t="inlineStr">
        <is>
          <t>Beklemede</t>
        </is>
      </c>
      <c r="I10" s="25" t="inlineStr"/>
      <c r="J10" s="25" t="inlineStr"/>
      <c r="K10" s="25" t="inlineStr"/>
      <c r="L10" s="14" t="inlineStr">
        <is>
          <t>Orta</t>
        </is>
      </c>
      <c r="M10" s="6" t="inlineStr"/>
    </row>
    <row r="11" ht="40" customHeight="1">
      <c r="A11" s="16" t="inlineStr">
        <is>
          <t>E01-008</t>
        </is>
      </c>
      <c r="B11" s="26" t="inlineStr">
        <is>
          <t>E01</t>
        </is>
      </c>
      <c r="C11" s="18" t="inlineStr">
        <is>
          <t>Adım 8: Satıcı kargolar</t>
        </is>
      </c>
      <c r="D11" s="18" t="inlineStr">
        <is>
          <t>—</t>
        </is>
      </c>
      <c r="E11" s="18" t="inlineStr">
        <is>
          <t>1. Satıcı kargo no girer</t>
        </is>
      </c>
      <c r="F11" s="18" t="inlineStr">
        <is>
          <t>Sipariş 'shipped'; alıcıya tracking maili.</t>
        </is>
      </c>
      <c r="G11" s="18" t="inlineStr"/>
      <c r="H11" s="16" t="inlineStr">
        <is>
          <t>Beklemede</t>
        </is>
      </c>
      <c r="I11" s="26" t="inlineStr"/>
      <c r="J11" s="26" t="inlineStr"/>
      <c r="K11" s="26" t="inlineStr"/>
      <c r="L11" s="16" t="inlineStr">
        <is>
          <t>Orta</t>
        </is>
      </c>
      <c r="M11" s="18" t="inlineStr"/>
    </row>
    <row r="12" ht="40" customHeight="1">
      <c r="A12" s="14" t="inlineStr">
        <is>
          <t>E01-009</t>
        </is>
      </c>
      <c r="B12" s="25" t="inlineStr">
        <is>
          <t>E01</t>
        </is>
      </c>
      <c r="C12" s="6" t="inlineStr">
        <is>
          <t>Adım 9: Misafir kargo takip</t>
        </is>
      </c>
      <c r="D12" s="6" t="inlineStr">
        <is>
          <t>—</t>
        </is>
      </c>
      <c r="E12" s="6" t="inlineStr">
        <is>
          <t>1. Mailden /track-order aç</t>
        </is>
      </c>
      <c r="F12" s="6" t="inlineStr">
        <is>
          <t>E-posta + sipariş no ile detay açılır; tracking görünür.</t>
        </is>
      </c>
      <c r="G12" s="6" t="inlineStr"/>
      <c r="H12" s="14" t="inlineStr">
        <is>
          <t>Beklemede</t>
        </is>
      </c>
      <c r="I12" s="25" t="inlineStr"/>
      <c r="J12" s="25" t="inlineStr"/>
      <c r="K12" s="25" t="inlineStr"/>
      <c r="L12" s="14" t="inlineStr">
        <is>
          <t>Orta</t>
        </is>
      </c>
      <c r="M12" s="6" t="inlineStr"/>
    </row>
    <row r="13" ht="40" customHeight="1">
      <c r="A13" s="16" t="inlineStr">
        <is>
          <t>E01-010</t>
        </is>
      </c>
      <c r="B13" s="26" t="inlineStr">
        <is>
          <t>E01</t>
        </is>
      </c>
      <c r="C13" s="18" t="inlineStr">
        <is>
          <t>Adım 10: Teslimat</t>
        </is>
      </c>
      <c r="D13" s="18" t="inlineStr">
        <is>
          <t>Kargo webhook 'delivered'.</t>
        </is>
      </c>
      <c r="E13" s="18" t="inlineStr">
        <is>
          <t>1. —</t>
        </is>
      </c>
      <c r="F13" s="18" t="inlineStr">
        <is>
          <t>Sipariş 'delivered'; alıcıya teslim maili.</t>
        </is>
      </c>
      <c r="G13" s="18" t="inlineStr"/>
      <c r="H13" s="16" t="inlineStr">
        <is>
          <t>Beklemede</t>
        </is>
      </c>
      <c r="I13" s="26" t="inlineStr"/>
      <c r="J13" s="26" t="inlineStr"/>
      <c r="K13" s="26" t="inlineStr"/>
      <c r="L13" s="16" t="inlineStr">
        <is>
          <t>Orta</t>
        </is>
      </c>
      <c r="M13" s="18" t="inlineStr"/>
    </row>
    <row r="14" ht="40" customHeight="1">
      <c r="A14" s="14" t="inlineStr">
        <is>
          <t>E01-011</t>
        </is>
      </c>
      <c r="B14" s="25" t="inlineStr">
        <is>
          <t>E01</t>
        </is>
      </c>
      <c r="C14" s="6" t="inlineStr">
        <is>
          <t>Adım 11: Fatura maili</t>
        </is>
      </c>
      <c r="D14" s="6" t="inlineStr">
        <is>
          <t>—</t>
        </is>
      </c>
      <c r="E14" s="6" t="inlineStr">
        <is>
          <t>1. Mail kontrol</t>
        </is>
      </c>
      <c r="F14" s="6" t="inlineStr">
        <is>
          <t>Fatura maili + PDF link.</t>
        </is>
      </c>
      <c r="G14" s="6" t="inlineStr"/>
      <c r="H14" s="14" t="inlineStr">
        <is>
          <t>Beklemede</t>
        </is>
      </c>
      <c r="I14" s="25" t="inlineStr"/>
      <c r="J14" s="25" t="inlineStr"/>
      <c r="K14" s="25" t="inlineStr"/>
      <c r="L14" s="14" t="inlineStr">
        <is>
          <t>Orta</t>
        </is>
      </c>
      <c r="M14" s="6" t="inlineStr"/>
    </row>
    <row r="15" ht="40" customHeight="1">
      <c r="A15" s="16" t="inlineStr">
        <is>
          <t>E01-012</t>
        </is>
      </c>
      <c r="B15" s="26" t="inlineStr">
        <is>
          <t>E01</t>
        </is>
      </c>
      <c r="C15" s="18" t="inlineStr">
        <is>
          <t>Adım 12: 7 gün sonra escrow release</t>
        </is>
      </c>
      <c r="D15" s="18" t="inlineStr">
        <is>
          <t>—</t>
        </is>
      </c>
      <c r="E15" s="18" t="inlineStr">
        <is>
          <t>1. Cron'u bekle</t>
        </is>
      </c>
      <c r="F15" s="18" t="inlineStr">
        <is>
          <t>PaymentHold release; payout satıcıya tetiklenir.</t>
        </is>
      </c>
      <c r="G15" s="18" t="inlineStr"/>
      <c r="H15" s="16" t="inlineStr">
        <is>
          <t>Beklemede</t>
        </is>
      </c>
      <c r="I15" s="26" t="inlineStr"/>
      <c r="J15" s="26" t="inlineStr"/>
      <c r="K15" s="26" t="inlineStr"/>
      <c r="L15" s="16" t="inlineStr">
        <is>
          <t>Orta</t>
        </is>
      </c>
      <c r="M15" s="18" t="inlineStr"/>
    </row>
    <row r="16" ht="40" customHeight="1">
      <c r="A16" s="14" t="inlineStr">
        <is>
          <t>E01-013</t>
        </is>
      </c>
      <c r="B16" s="25" t="inlineStr">
        <is>
          <t>E01</t>
        </is>
      </c>
      <c r="C16" s="6" t="inlineStr">
        <is>
          <t>Adım 13: Misafir iade talebi (üye olmadan)</t>
        </is>
      </c>
      <c r="D16" s="6" t="inlineStr">
        <is>
          <t>Teslim alınmış misafir siparişi.</t>
        </is>
      </c>
      <c r="E16" s="6" t="inlineStr">
        <is>
          <t>1. /track-order üzerinden iade aç</t>
        </is>
      </c>
      <c r="F16" s="6" t="inlineStr">
        <is>
          <t>İade talebi oluşur; sebep/foto yüklenir; satıcıya gider.</t>
        </is>
      </c>
      <c r="G16" s="6" t="inlineStr"/>
      <c r="H16" s="14" t="inlineStr">
        <is>
          <t>Beklemede</t>
        </is>
      </c>
      <c r="I16" s="25" t="inlineStr"/>
      <c r="J16" s="25" t="inlineStr"/>
      <c r="K16" s="25" t="inlineStr"/>
      <c r="L16" s="14" t="inlineStr">
        <is>
          <t>Orta</t>
        </is>
      </c>
      <c r="M16" s="6" t="inlineStr"/>
    </row>
    <row r="19">
      <c r="A19" s="27" t="inlineStr">
        <is>
          <t>Bu sayfadaki tüm senaryolar test edilmiş ve sonuçlar yukarıda işaretlenmiştir.</t>
        </is>
      </c>
    </row>
    <row r="20">
      <c r="A20" s="28" t="inlineStr">
        <is>
          <t>Test Eden (Tarodan)</t>
        </is>
      </c>
      <c r="D20" s="28" t="inlineStr">
        <is>
          <t>Tarih</t>
        </is>
      </c>
      <c r="G20" s="28" t="inlineStr">
        <is>
          <t>Onaylayan (Müşteri)</t>
        </is>
      </c>
      <c r="J20" s="28" t="inlineStr">
        <is>
          <t>Tarih</t>
        </is>
      </c>
    </row>
    <row r="21">
      <c r="A21" s="7" t="n"/>
      <c r="D21" s="7" t="n"/>
      <c r="G21" s="7" t="n"/>
      <c r="J21" s="7" t="n"/>
    </row>
  </sheetData>
  <mergeCells count="7">
    <mergeCell ref="G21:H21"/>
    <mergeCell ref="A19:M19"/>
    <mergeCell ref="A21:B21"/>
    <mergeCell ref="J21:K21"/>
    <mergeCell ref="A1:M1"/>
    <mergeCell ref="A2:M2"/>
    <mergeCell ref="D21:E21"/>
  </mergeCells>
  <conditionalFormatting sqref="H4:H16">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6" showDropDown="0" showInputMessage="0" showErrorMessage="0" allowBlank="1" errorTitle="Geçersiz değer" error="Lütfen listedeki seçeneklerden birini seçin." type="list">
      <formula1>"Beklemede,Geçti,Kaldı,Bloke,Yapılamadı,N/A"</formula1>
    </dataValidation>
    <dataValidation sqref="L4:L16" showDropDown="0" showInputMessage="0" showErrorMessage="0" allowBlank="1" type="list">
      <formula1>"Kritik,Yüksek,Orta,Düşük"</formula1>
    </dataValidation>
    <dataValidation sqref="K4:K16"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E02 — Uçtan Uca: Üye Satın Alma → İade</t>
        </is>
      </c>
    </row>
    <row r="2" ht="28" customHeight="1">
      <c r="A2" s="24" t="inlineStr">
        <is>
          <t>Üye satın alır → teslim alır → iade talep eder → onaylanır → para iadesi.</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E02-001</t>
        </is>
      </c>
      <c r="B4" s="25" t="inlineStr">
        <is>
          <t>E02</t>
        </is>
      </c>
      <c r="C4" s="6" t="inlineStr">
        <is>
          <t>Üye satın alma</t>
        </is>
      </c>
      <c r="D4" s="6" t="inlineStr">
        <is>
          <t>Üye, kayıtlı adres.</t>
        </is>
      </c>
      <c r="E4" s="6" t="inlineStr">
        <is>
          <t>1. Sepet → checkout → ödeme</t>
        </is>
      </c>
      <c r="F4" s="6" t="inlineStr">
        <is>
          <t>Sipariş başarıyla oluşur.</t>
        </is>
      </c>
      <c r="G4" s="6" t="inlineStr"/>
      <c r="H4" s="14" t="inlineStr">
        <is>
          <t>Beklemede</t>
        </is>
      </c>
      <c r="I4" s="25" t="inlineStr"/>
      <c r="J4" s="25" t="inlineStr"/>
      <c r="K4" s="25" t="inlineStr"/>
      <c r="L4" s="14" t="inlineStr">
        <is>
          <t>Orta</t>
        </is>
      </c>
      <c r="M4" s="6" t="inlineStr"/>
    </row>
    <row r="5" ht="40" customHeight="1">
      <c r="A5" s="16" t="inlineStr">
        <is>
          <t>E02-002</t>
        </is>
      </c>
      <c r="B5" s="26" t="inlineStr">
        <is>
          <t>E02</t>
        </is>
      </c>
      <c r="C5" s="18" t="inlineStr">
        <is>
          <t>Satıcı kargolar</t>
        </is>
      </c>
      <c r="D5" s="18" t="inlineStr">
        <is>
          <t>—</t>
        </is>
      </c>
      <c r="E5" s="18" t="inlineStr">
        <is>
          <t>1. Satıcı kargo girer</t>
        </is>
      </c>
      <c r="F5" s="18" t="inlineStr">
        <is>
          <t>Status 'shipped'.</t>
        </is>
      </c>
      <c r="G5" s="18" t="inlineStr"/>
      <c r="H5" s="16" t="inlineStr">
        <is>
          <t>Beklemede</t>
        </is>
      </c>
      <c r="I5" s="26" t="inlineStr"/>
      <c r="J5" s="26" t="inlineStr"/>
      <c r="K5" s="26" t="inlineStr"/>
      <c r="L5" s="16" t="inlineStr">
        <is>
          <t>Orta</t>
        </is>
      </c>
      <c r="M5" s="18" t="inlineStr"/>
    </row>
    <row r="6" ht="40" customHeight="1">
      <c r="A6" s="14" t="inlineStr">
        <is>
          <t>E02-003</t>
        </is>
      </c>
      <c r="B6" s="25" t="inlineStr">
        <is>
          <t>E02</t>
        </is>
      </c>
      <c r="C6" s="6" t="inlineStr">
        <is>
          <t>Teslim alındı</t>
        </is>
      </c>
      <c r="D6" s="6" t="inlineStr">
        <is>
          <t>—</t>
        </is>
      </c>
      <c r="E6" s="6" t="inlineStr">
        <is>
          <t>1. Webhook delivered</t>
        </is>
      </c>
      <c r="F6" s="6" t="inlineStr">
        <is>
          <t>Status 'delivered'.</t>
        </is>
      </c>
      <c r="G6" s="6" t="inlineStr"/>
      <c r="H6" s="14" t="inlineStr">
        <is>
          <t>Beklemede</t>
        </is>
      </c>
      <c r="I6" s="25" t="inlineStr"/>
      <c r="J6" s="25" t="inlineStr"/>
      <c r="K6" s="25" t="inlineStr"/>
      <c r="L6" s="14" t="inlineStr">
        <is>
          <t>Orta</t>
        </is>
      </c>
      <c r="M6" s="6" t="inlineStr"/>
    </row>
    <row r="7" ht="40" customHeight="1">
      <c r="A7" s="16" t="inlineStr">
        <is>
          <t>E02-004</t>
        </is>
      </c>
      <c r="B7" s="26" t="inlineStr">
        <is>
          <t>E02</t>
        </is>
      </c>
      <c r="C7" s="18" t="inlineStr">
        <is>
          <t>İade talebi (foto + sebep)</t>
        </is>
      </c>
      <c r="D7" s="18" t="inlineStr">
        <is>
          <t>—</t>
        </is>
      </c>
      <c r="E7" s="18" t="inlineStr">
        <is>
          <t>1. /orders/[id] → İade Aç</t>
        </is>
      </c>
      <c r="F7" s="18" t="inlineStr">
        <is>
          <t>Talep 'pending_review'; satıcıya bildirim.</t>
        </is>
      </c>
      <c r="G7" s="18" t="inlineStr"/>
      <c r="H7" s="16" t="inlineStr">
        <is>
          <t>Beklemede</t>
        </is>
      </c>
      <c r="I7" s="26" t="inlineStr"/>
      <c r="J7" s="26" t="inlineStr"/>
      <c r="K7" s="26" t="inlineStr"/>
      <c r="L7" s="16" t="inlineStr">
        <is>
          <t>Orta</t>
        </is>
      </c>
      <c r="M7" s="18" t="inlineStr"/>
    </row>
    <row r="8" ht="40" customHeight="1">
      <c r="A8" s="14" t="inlineStr">
        <is>
          <t>E02-005</t>
        </is>
      </c>
      <c r="B8" s="25" t="inlineStr">
        <is>
          <t>E02</t>
        </is>
      </c>
      <c r="C8" s="6" t="inlineStr">
        <is>
          <t>Satıcı iade onaylar</t>
        </is>
      </c>
      <c r="D8" s="6" t="inlineStr">
        <is>
          <t>—</t>
        </is>
      </c>
      <c r="E8" s="6" t="inlineStr">
        <is>
          <t>1. Satıcı 'kabul'</t>
        </is>
      </c>
      <c r="F8" s="6" t="inlineStr">
        <is>
          <t>Talep 'approved'; alıcıya kargo bilgisi maili.</t>
        </is>
      </c>
      <c r="G8" s="6" t="inlineStr"/>
      <c r="H8" s="14" t="inlineStr">
        <is>
          <t>Beklemede</t>
        </is>
      </c>
      <c r="I8" s="25" t="inlineStr"/>
      <c r="J8" s="25" t="inlineStr"/>
      <c r="K8" s="25" t="inlineStr"/>
      <c r="L8" s="14" t="inlineStr">
        <is>
          <t>Orta</t>
        </is>
      </c>
      <c r="M8" s="6" t="inlineStr"/>
    </row>
    <row r="9" ht="40" customHeight="1">
      <c r="A9" s="16" t="inlineStr">
        <is>
          <t>E02-006</t>
        </is>
      </c>
      <c r="B9" s="26" t="inlineStr">
        <is>
          <t>E02</t>
        </is>
      </c>
      <c r="C9" s="18" t="inlineStr">
        <is>
          <t>Alıcı iade kargosu</t>
        </is>
      </c>
      <c r="D9" s="18" t="inlineStr">
        <is>
          <t>—</t>
        </is>
      </c>
      <c r="E9" s="18" t="inlineStr">
        <is>
          <t>1. Tracking no gir</t>
        </is>
      </c>
      <c r="F9" s="18" t="inlineStr">
        <is>
          <t>Status 'return_in_transit'.</t>
        </is>
      </c>
      <c r="G9" s="18" t="inlineStr"/>
      <c r="H9" s="16" t="inlineStr">
        <is>
          <t>Beklemede</t>
        </is>
      </c>
      <c r="I9" s="26" t="inlineStr"/>
      <c r="J9" s="26" t="inlineStr"/>
      <c r="K9" s="26" t="inlineStr"/>
      <c r="L9" s="16" t="inlineStr">
        <is>
          <t>Orta</t>
        </is>
      </c>
      <c r="M9" s="18" t="inlineStr"/>
    </row>
    <row r="10" ht="40" customHeight="1">
      <c r="A10" s="14" t="inlineStr">
        <is>
          <t>E02-007</t>
        </is>
      </c>
      <c r="B10" s="25" t="inlineStr">
        <is>
          <t>E02</t>
        </is>
      </c>
      <c r="C10" s="6" t="inlineStr">
        <is>
          <t>Satıcı iade ürünü teslim aldı</t>
        </is>
      </c>
      <c r="D10" s="6" t="inlineStr">
        <is>
          <t>—</t>
        </is>
      </c>
      <c r="E10" s="6" t="inlineStr">
        <is>
          <t>1. Satıcı 'teslim aldım'</t>
        </is>
      </c>
      <c r="F10" s="6" t="inlineStr">
        <is>
          <t>Refund cron tetiklenir.</t>
        </is>
      </c>
      <c r="G10" s="6" t="inlineStr"/>
      <c r="H10" s="14" t="inlineStr">
        <is>
          <t>Beklemede</t>
        </is>
      </c>
      <c r="I10" s="25" t="inlineStr"/>
      <c r="J10" s="25" t="inlineStr"/>
      <c r="K10" s="25" t="inlineStr"/>
      <c r="L10" s="14" t="inlineStr">
        <is>
          <t>Orta</t>
        </is>
      </c>
      <c r="M10" s="6" t="inlineStr"/>
    </row>
    <row r="11" ht="40" customHeight="1">
      <c r="A11" s="16" t="inlineStr">
        <is>
          <t>E02-008</t>
        </is>
      </c>
      <c r="B11" s="26" t="inlineStr">
        <is>
          <t>E02</t>
        </is>
      </c>
      <c r="C11" s="18" t="inlineStr">
        <is>
          <t>Para iadesi (PayTR refund)</t>
        </is>
      </c>
      <c r="D11" s="18" t="inlineStr">
        <is>
          <t>—</t>
        </is>
      </c>
      <c r="E11" s="18" t="inlineStr">
        <is>
          <t>1. —</t>
        </is>
      </c>
      <c r="F11" s="18" t="inlineStr">
        <is>
          <t>Refund 'completed'; alıcıya mail; tutar PayTR refund'la geri.</t>
        </is>
      </c>
      <c r="G11" s="18" t="inlineStr"/>
      <c r="H11" s="16" t="inlineStr">
        <is>
          <t>Beklemede</t>
        </is>
      </c>
      <c r="I11" s="26" t="inlineStr"/>
      <c r="J11" s="26" t="inlineStr"/>
      <c r="K11" s="26" t="inlineStr"/>
      <c r="L11" s="16" t="inlineStr">
        <is>
          <t>Orta</t>
        </is>
      </c>
      <c r="M11" s="18" t="inlineStr"/>
    </row>
    <row r="12" ht="40" customHeight="1">
      <c r="A12" s="14" t="inlineStr">
        <is>
          <t>E02-009</t>
        </is>
      </c>
      <c r="B12" s="25" t="inlineStr">
        <is>
          <t>E02</t>
        </is>
      </c>
      <c r="C12" s="6" t="inlineStr">
        <is>
          <t>Sipariş final durum</t>
        </is>
      </c>
      <c r="D12" s="6" t="inlineStr">
        <is>
          <t>—</t>
        </is>
      </c>
      <c r="E12" s="6" t="inlineStr">
        <is>
          <t>1. /orders/[id] kontrol</t>
        </is>
      </c>
      <c r="F12" s="6" t="inlineStr">
        <is>
          <t>Status 'refunded'; payout iptal/geri.</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E03 — Uçtan Uca: Sipariş Kargolanmadan İptal</t>
        </is>
      </c>
    </row>
    <row r="2" ht="28" customHeight="1">
      <c r="A2" s="24" t="inlineStr">
        <is>
          <t>Ödeme yapıldı ama satıcı henüz kargolamadı; alıcı iptal eder.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E03-001</t>
        </is>
      </c>
      <c r="B4" s="25" t="inlineStr">
        <is>
          <t>E03</t>
        </is>
      </c>
      <c r="C4" s="6" t="inlineStr">
        <is>
          <t>Sipariş + ödeme</t>
        </is>
      </c>
      <c r="D4" s="6" t="inlineStr">
        <is>
          <t>—</t>
        </is>
      </c>
      <c r="E4" s="6" t="inlineStr">
        <is>
          <t>1. Sepet → ödeme tamamla</t>
        </is>
      </c>
      <c r="F4" s="6" t="inlineStr">
        <is>
          <t>Status 'paid' → 'preparing'.</t>
        </is>
      </c>
      <c r="G4" s="6" t="inlineStr"/>
      <c r="H4" s="14" t="inlineStr">
        <is>
          <t>Beklemede</t>
        </is>
      </c>
      <c r="I4" s="25" t="inlineStr"/>
      <c r="J4" s="25" t="inlineStr"/>
      <c r="K4" s="25" t="inlineStr"/>
      <c r="L4" s="14" t="inlineStr">
        <is>
          <t>Orta</t>
        </is>
      </c>
      <c r="M4" s="6" t="inlineStr"/>
    </row>
    <row r="5" ht="40" customHeight="1">
      <c r="A5" s="16" t="inlineStr">
        <is>
          <t>E03-002</t>
        </is>
      </c>
      <c r="B5" s="26" t="inlineStr">
        <is>
          <t>E03</t>
        </is>
      </c>
      <c r="C5" s="18" t="inlineStr">
        <is>
          <t>Hemen iptal isteği</t>
        </is>
      </c>
      <c r="D5" s="18" t="inlineStr">
        <is>
          <t>—</t>
        </is>
      </c>
      <c r="E5" s="18" t="inlineStr">
        <is>
          <t>1. /orders/[id] → İptal İste</t>
        </is>
      </c>
      <c r="F5" s="18" t="inlineStr">
        <is>
          <t>Status 'cancel_requested'; satıcıya bildirim.</t>
        </is>
      </c>
      <c r="G5" s="18" t="inlineStr"/>
      <c r="H5" s="16" t="inlineStr">
        <is>
          <t>Beklemede</t>
        </is>
      </c>
      <c r="I5" s="26" t="inlineStr"/>
      <c r="J5" s="26" t="inlineStr"/>
      <c r="K5" s="26" t="inlineStr"/>
      <c r="L5" s="16" t="inlineStr">
        <is>
          <t>Orta</t>
        </is>
      </c>
      <c r="M5" s="18" t="inlineStr"/>
    </row>
    <row r="6" ht="40" customHeight="1">
      <c r="A6" s="14" t="inlineStr">
        <is>
          <t>E03-003</t>
        </is>
      </c>
      <c r="B6" s="25" t="inlineStr">
        <is>
          <t>E03</t>
        </is>
      </c>
      <c r="C6" s="6" t="inlineStr">
        <is>
          <t>Satıcı kabul</t>
        </is>
      </c>
      <c r="D6" s="6" t="inlineStr">
        <is>
          <t>—</t>
        </is>
      </c>
      <c r="E6" s="6" t="inlineStr">
        <is>
          <t>1. Satıcı 'iptali kabul et'</t>
        </is>
      </c>
      <c r="F6" s="6" t="inlineStr">
        <is>
          <t>Status 'cancelled'; PayTR otomatik refund.</t>
        </is>
      </c>
      <c r="G6" s="6" t="inlineStr"/>
      <c r="H6" s="14" t="inlineStr">
        <is>
          <t>Beklemede</t>
        </is>
      </c>
      <c r="I6" s="25" t="inlineStr"/>
      <c r="J6" s="25" t="inlineStr"/>
      <c r="K6" s="25" t="inlineStr"/>
      <c r="L6" s="14" t="inlineStr">
        <is>
          <t>Orta</t>
        </is>
      </c>
      <c r="M6" s="6" t="inlineStr"/>
    </row>
    <row r="7" ht="40" customHeight="1">
      <c r="A7" s="16" t="inlineStr">
        <is>
          <t>E03-004</t>
        </is>
      </c>
      <c r="B7" s="26" t="inlineStr">
        <is>
          <t>E03</t>
        </is>
      </c>
      <c r="C7" s="18" t="inlineStr">
        <is>
          <t>Para iadesi maili</t>
        </is>
      </c>
      <c r="D7" s="18" t="inlineStr">
        <is>
          <t>—</t>
        </is>
      </c>
      <c r="E7" s="18" t="inlineStr">
        <is>
          <t>1. Mail kontrol</t>
        </is>
      </c>
      <c r="F7" s="18" t="inlineStr">
        <is>
          <t>Refund maili gelir; tutar geri yatırılır.</t>
        </is>
      </c>
      <c r="G7" s="18" t="inlineStr"/>
      <c r="H7" s="16" t="inlineStr">
        <is>
          <t>Beklemede</t>
        </is>
      </c>
      <c r="I7" s="26" t="inlineStr"/>
      <c r="J7" s="26" t="inlineStr"/>
      <c r="K7" s="26" t="inlineStr"/>
      <c r="L7" s="16" t="inlineStr">
        <is>
          <t>Orta</t>
        </is>
      </c>
      <c r="M7" s="18" t="inlineStr"/>
    </row>
    <row r="8" ht="40" customHeight="1">
      <c r="A8" s="14" t="inlineStr">
        <is>
          <t>E03-005</t>
        </is>
      </c>
      <c r="B8" s="25" t="inlineStr">
        <is>
          <t>E03</t>
        </is>
      </c>
      <c r="C8" s="6" t="inlineStr">
        <is>
          <t>Stok geri verildi</t>
        </is>
      </c>
      <c r="D8" s="6" t="inlineStr">
        <is>
          <t>—</t>
        </is>
      </c>
      <c r="E8" s="6" t="inlineStr">
        <is>
          <t>1. Ürün detayında stok kontrol</t>
        </is>
      </c>
      <c r="F8" s="6" t="inlineStr">
        <is>
          <t>Stok eski seviyesine döner.</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E04 — Uçtan Uca: Satıcı: İlan → Sipariş → Kargo → Payout</t>
        </is>
      </c>
    </row>
    <row r="2" ht="28" customHeight="1">
      <c r="A2" s="24" t="inlineStr">
        <is>
          <t>Yeni satıcı kaydı, ilan, satış, payout.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E04-001</t>
        </is>
      </c>
      <c r="B4" s="25" t="inlineStr">
        <is>
          <t>E04</t>
        </is>
      </c>
      <c r="C4" s="6" t="inlineStr">
        <is>
          <t>Kurumsal kayıt</t>
        </is>
      </c>
      <c r="D4" s="6" t="inlineStr">
        <is>
          <t>—</t>
        </is>
      </c>
      <c r="E4" s="6" t="inlineStr">
        <is>
          <t>1. /register/business doldur</t>
        </is>
      </c>
      <c r="F4" s="6" t="inlineStr">
        <is>
          <t>Hesap oluşur; başvuru pending.</t>
        </is>
      </c>
      <c r="G4" s="6" t="inlineStr"/>
      <c r="H4" s="14" t="inlineStr">
        <is>
          <t>Beklemede</t>
        </is>
      </c>
      <c r="I4" s="25" t="inlineStr"/>
      <c r="J4" s="25" t="inlineStr"/>
      <c r="K4" s="25" t="inlineStr"/>
      <c r="L4" s="14" t="inlineStr">
        <is>
          <t>Orta</t>
        </is>
      </c>
      <c r="M4" s="6" t="inlineStr"/>
    </row>
    <row r="5" ht="40" customHeight="1">
      <c r="A5" s="16" t="inlineStr">
        <is>
          <t>E04-002</t>
        </is>
      </c>
      <c r="B5" s="26" t="inlineStr">
        <is>
          <t>E04</t>
        </is>
      </c>
      <c r="C5" s="18" t="inlineStr">
        <is>
          <t>Admin başvuru onayı</t>
        </is>
      </c>
      <c r="D5" s="18" t="inlineStr">
        <is>
          <t>—</t>
        </is>
      </c>
      <c r="E5" s="18" t="inlineStr">
        <is>
          <t>1. Admin onaylar</t>
        </is>
      </c>
      <c r="F5" s="18" t="inlineStr">
        <is>
          <t>Satıcı 'aktif'; mail.</t>
        </is>
      </c>
      <c r="G5" s="18" t="inlineStr"/>
      <c r="H5" s="16" t="inlineStr">
        <is>
          <t>Beklemede</t>
        </is>
      </c>
      <c r="I5" s="26" t="inlineStr"/>
      <c r="J5" s="26" t="inlineStr"/>
      <c r="K5" s="26" t="inlineStr"/>
      <c r="L5" s="16" t="inlineStr">
        <is>
          <t>Orta</t>
        </is>
      </c>
      <c r="M5" s="18" t="inlineStr"/>
    </row>
    <row r="6" ht="40" customHeight="1">
      <c r="A6" s="14" t="inlineStr">
        <is>
          <t>E04-003</t>
        </is>
      </c>
      <c r="B6" s="25" t="inlineStr">
        <is>
          <t>E04</t>
        </is>
      </c>
      <c r="C6" s="6" t="inlineStr">
        <is>
          <t>İlan oluşturma</t>
        </is>
      </c>
      <c r="D6" s="6" t="inlineStr">
        <is>
          <t>—</t>
        </is>
      </c>
      <c r="E6" s="6" t="inlineStr">
        <is>
          <t>1. /listings/new doldur</t>
        </is>
      </c>
      <c r="F6" s="6" t="inlineStr">
        <is>
          <t>İlan moderasyonda.</t>
        </is>
      </c>
      <c r="G6" s="6" t="inlineStr"/>
      <c r="H6" s="14" t="inlineStr">
        <is>
          <t>Beklemede</t>
        </is>
      </c>
      <c r="I6" s="25" t="inlineStr"/>
      <c r="J6" s="25" t="inlineStr"/>
      <c r="K6" s="25" t="inlineStr"/>
      <c r="L6" s="14" t="inlineStr">
        <is>
          <t>Orta</t>
        </is>
      </c>
      <c r="M6" s="6" t="inlineStr"/>
    </row>
    <row r="7" ht="40" customHeight="1">
      <c r="A7" s="16" t="inlineStr">
        <is>
          <t>E04-004</t>
        </is>
      </c>
      <c r="B7" s="26" t="inlineStr">
        <is>
          <t>E04</t>
        </is>
      </c>
      <c r="C7" s="18" t="inlineStr">
        <is>
          <t>Admin ürün onayı</t>
        </is>
      </c>
      <c r="D7" s="18" t="inlineStr">
        <is>
          <t>—</t>
        </is>
      </c>
      <c r="E7" s="18" t="inlineStr">
        <is>
          <t>1. Admin onaylar</t>
        </is>
      </c>
      <c r="F7" s="18" t="inlineStr">
        <is>
          <t>İlan webde görünür.</t>
        </is>
      </c>
      <c r="G7" s="18" t="inlineStr"/>
      <c r="H7" s="16" t="inlineStr">
        <is>
          <t>Beklemede</t>
        </is>
      </c>
      <c r="I7" s="26" t="inlineStr"/>
      <c r="J7" s="26" t="inlineStr"/>
      <c r="K7" s="26" t="inlineStr"/>
      <c r="L7" s="16" t="inlineStr">
        <is>
          <t>Orta</t>
        </is>
      </c>
      <c r="M7" s="18" t="inlineStr"/>
    </row>
    <row r="8" ht="40" customHeight="1">
      <c r="A8" s="14" t="inlineStr">
        <is>
          <t>E04-005</t>
        </is>
      </c>
      <c r="B8" s="25" t="inlineStr">
        <is>
          <t>E04</t>
        </is>
      </c>
      <c r="C8" s="6" t="inlineStr">
        <is>
          <t>Sipariş geldi</t>
        </is>
      </c>
      <c r="D8" s="6" t="inlineStr">
        <is>
          <t>Alıcı satın aldı.</t>
        </is>
      </c>
      <c r="E8" s="6" t="inlineStr">
        <is>
          <t>1. Satıcı dashboard</t>
        </is>
      </c>
      <c r="F8" s="6" t="inlineStr">
        <is>
          <t>Yeni sipariş bildirimi.</t>
        </is>
      </c>
      <c r="G8" s="6" t="inlineStr"/>
      <c r="H8" s="14" t="inlineStr">
        <is>
          <t>Beklemede</t>
        </is>
      </c>
      <c r="I8" s="25" t="inlineStr"/>
      <c r="J8" s="25" t="inlineStr"/>
      <c r="K8" s="25" t="inlineStr"/>
      <c r="L8" s="14" t="inlineStr">
        <is>
          <t>Orta</t>
        </is>
      </c>
      <c r="M8" s="6" t="inlineStr"/>
    </row>
    <row r="9" ht="40" customHeight="1">
      <c r="A9" s="16" t="inlineStr">
        <is>
          <t>E04-006</t>
        </is>
      </c>
      <c r="B9" s="26" t="inlineStr">
        <is>
          <t>E04</t>
        </is>
      </c>
      <c r="C9" s="18" t="inlineStr">
        <is>
          <t>Kargo girişi</t>
        </is>
      </c>
      <c r="D9" s="18" t="inlineStr">
        <is>
          <t>—</t>
        </is>
      </c>
      <c r="E9" s="18" t="inlineStr">
        <is>
          <t>1. Kargo no gir</t>
        </is>
      </c>
      <c r="F9" s="18" t="inlineStr">
        <is>
          <t>Status shipped.</t>
        </is>
      </c>
      <c r="G9" s="18" t="inlineStr"/>
      <c r="H9" s="16" t="inlineStr">
        <is>
          <t>Beklemede</t>
        </is>
      </c>
      <c r="I9" s="26" t="inlineStr"/>
      <c r="J9" s="26" t="inlineStr"/>
      <c r="K9" s="26" t="inlineStr"/>
      <c r="L9" s="16" t="inlineStr">
        <is>
          <t>Orta</t>
        </is>
      </c>
      <c r="M9" s="18" t="inlineStr"/>
    </row>
    <row r="10" ht="40" customHeight="1">
      <c r="A10" s="14" t="inlineStr">
        <is>
          <t>E04-007</t>
        </is>
      </c>
      <c r="B10" s="25" t="inlineStr">
        <is>
          <t>E04</t>
        </is>
      </c>
      <c r="C10" s="6" t="inlineStr">
        <is>
          <t>Teslimat + 7 gün escrow</t>
        </is>
      </c>
      <c r="D10" s="6" t="inlineStr">
        <is>
          <t>—</t>
        </is>
      </c>
      <c r="E10" s="6" t="inlineStr">
        <is>
          <t>1. Bekle</t>
        </is>
      </c>
      <c r="F10" s="6" t="inlineStr">
        <is>
          <t>PaymentHold release.</t>
        </is>
      </c>
      <c r="G10" s="6" t="inlineStr"/>
      <c r="H10" s="14" t="inlineStr">
        <is>
          <t>Beklemede</t>
        </is>
      </c>
      <c r="I10" s="25" t="inlineStr"/>
      <c r="J10" s="25" t="inlineStr"/>
      <c r="K10" s="25" t="inlineStr"/>
      <c r="L10" s="14" t="inlineStr">
        <is>
          <t>Orta</t>
        </is>
      </c>
      <c r="M10" s="6" t="inlineStr"/>
    </row>
    <row r="11" ht="40" customHeight="1">
      <c r="A11" s="16" t="inlineStr">
        <is>
          <t>E04-008</t>
        </is>
      </c>
      <c r="B11" s="26" t="inlineStr">
        <is>
          <t>E04</t>
        </is>
      </c>
      <c r="C11" s="18" t="inlineStr">
        <is>
          <t>Banka bilgisi yok ise</t>
        </is>
      </c>
      <c r="D11" s="18" t="inlineStr">
        <is>
          <t>IBAN eklenmemiş.</t>
        </is>
      </c>
      <c r="E11" s="18" t="inlineStr">
        <is>
          <t>1. —</t>
        </is>
      </c>
      <c r="F11" s="18" t="inlineStr">
        <is>
          <t>Payout 'failed - no_bank_account'; satıcıya uyarı.</t>
        </is>
      </c>
      <c r="G11" s="18" t="inlineStr"/>
      <c r="H11" s="16" t="inlineStr">
        <is>
          <t>Beklemede</t>
        </is>
      </c>
      <c r="I11" s="26" t="inlineStr"/>
      <c r="J11" s="26" t="inlineStr"/>
      <c r="K11" s="26" t="inlineStr"/>
      <c r="L11" s="16" t="inlineStr">
        <is>
          <t>Orta</t>
        </is>
      </c>
      <c r="M11" s="18" t="inlineStr"/>
    </row>
    <row r="12" ht="40" customHeight="1">
      <c r="A12" s="14" t="inlineStr">
        <is>
          <t>E04-009</t>
        </is>
      </c>
      <c r="B12" s="25" t="inlineStr">
        <is>
          <t>E04</t>
        </is>
      </c>
      <c r="C12" s="6" t="inlineStr">
        <is>
          <t>IBAN ekledikten sonra retry</t>
        </is>
      </c>
      <c r="D12" s="6" t="inlineStr">
        <is>
          <t>IBAN eklendi.</t>
        </is>
      </c>
      <c r="E12" s="6" t="inlineStr">
        <is>
          <t>1. Cron retry</t>
        </is>
      </c>
      <c r="F12" s="6" t="inlineStr">
        <is>
          <t>Payout 'completed'; mail.</t>
        </is>
      </c>
      <c r="G12" s="6" t="inlineStr"/>
      <c r="H12" s="14" t="inlineStr">
        <is>
          <t>Beklemede</t>
        </is>
      </c>
      <c r="I12" s="25" t="inlineStr"/>
      <c r="J12" s="25" t="inlineStr"/>
      <c r="K12" s="25" t="inlineStr"/>
      <c r="L12" s="14" t="inlineStr">
        <is>
          <t>Orta</t>
        </is>
      </c>
      <c r="M12" s="6" t="inlineStr"/>
    </row>
    <row r="15">
      <c r="A15" s="27" t="inlineStr">
        <is>
          <t>Bu sayfadaki tüm senaryolar test edilmiş ve sonuçlar yukarıda işaretlenmiştir.</t>
        </is>
      </c>
    </row>
    <row r="16">
      <c r="A16" s="28" t="inlineStr">
        <is>
          <t>Test Eden (Tarodan)</t>
        </is>
      </c>
      <c r="D16" s="28" t="inlineStr">
        <is>
          <t>Tarih</t>
        </is>
      </c>
      <c r="G16" s="28" t="inlineStr">
        <is>
          <t>Onaylayan (Müşteri)</t>
        </is>
      </c>
      <c r="J16" s="28" t="inlineStr">
        <is>
          <t>Tarih</t>
        </is>
      </c>
    </row>
    <row r="17">
      <c r="A17" s="7" t="n"/>
      <c r="D17" s="7" t="n"/>
      <c r="G17" s="7" t="n"/>
      <c r="J17" s="7" t="n"/>
    </row>
  </sheetData>
  <mergeCells count="7">
    <mergeCell ref="A1:M1"/>
    <mergeCell ref="A15:M15"/>
    <mergeCell ref="A17:B17"/>
    <mergeCell ref="D17:E17"/>
    <mergeCell ref="A2:M2"/>
    <mergeCell ref="G17:H17"/>
    <mergeCell ref="J17:K17"/>
  </mergeCells>
  <conditionalFormatting sqref="H4:H12">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2" showDropDown="0" showInputMessage="0" showErrorMessage="0" allowBlank="1" errorTitle="Geçersiz değer" error="Lütfen listedeki seçeneklerden birini seçin." type="list">
      <formula1>"Beklemede,Geçti,Kaldı,Bloke,Yapılamadı,N/A"</formula1>
    </dataValidation>
    <dataValidation sqref="L4:L12" showDropDown="0" showInputMessage="0" showErrorMessage="0" allowBlank="1" type="list">
      <formula1>"Kritik,Yüksek,Orta,Düşük"</formula1>
    </dataValidation>
    <dataValidation sqref="K4:K12"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E05 — Uçtan Uca: Teklif → Karşı Teklif → Kabul → Ödeme</t>
        </is>
      </c>
    </row>
    <row r="2" ht="28" customHeight="1">
      <c r="A2" s="24" t="inlineStr">
        <is>
          <t>Teklif vererek satın alma akışı.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E05-001</t>
        </is>
      </c>
      <c r="B4" s="25" t="inlineStr">
        <is>
          <t>E05</t>
        </is>
      </c>
      <c r="C4" s="6" t="inlineStr">
        <is>
          <t>Teklif ver</t>
        </is>
      </c>
      <c r="D4" s="6" t="inlineStr">
        <is>
          <t>Üye, başkasının ürünü.</t>
        </is>
      </c>
      <c r="E4" s="6" t="inlineStr">
        <is>
          <t>1. Teklif modalı, fiyat gir</t>
        </is>
      </c>
      <c r="F4" s="6" t="inlineStr">
        <is>
          <t>Teklif gönderilir.</t>
        </is>
      </c>
      <c r="G4" s="6" t="inlineStr"/>
      <c r="H4" s="14" t="inlineStr">
        <is>
          <t>Beklemede</t>
        </is>
      </c>
      <c r="I4" s="25" t="inlineStr"/>
      <c r="J4" s="25" t="inlineStr"/>
      <c r="K4" s="25" t="inlineStr"/>
      <c r="L4" s="14" t="inlineStr">
        <is>
          <t>Orta</t>
        </is>
      </c>
      <c r="M4" s="6" t="inlineStr"/>
    </row>
    <row r="5" ht="40" customHeight="1">
      <c r="A5" s="16" t="inlineStr">
        <is>
          <t>E05-002</t>
        </is>
      </c>
      <c r="B5" s="26" t="inlineStr">
        <is>
          <t>E05</t>
        </is>
      </c>
      <c r="C5" s="18" t="inlineStr">
        <is>
          <t>Satıcı karşı teklif</t>
        </is>
      </c>
      <c r="D5" s="18" t="inlineStr">
        <is>
          <t>—</t>
        </is>
      </c>
      <c r="E5" s="18" t="inlineStr">
        <is>
          <t>1. Satıcı counter</t>
        </is>
      </c>
      <c r="F5" s="18" t="inlineStr">
        <is>
          <t>Yeni fiyat alıcıya gider.</t>
        </is>
      </c>
      <c r="G5" s="18" t="inlineStr"/>
      <c r="H5" s="16" t="inlineStr">
        <is>
          <t>Beklemede</t>
        </is>
      </c>
      <c r="I5" s="26" t="inlineStr"/>
      <c r="J5" s="26" t="inlineStr"/>
      <c r="K5" s="26" t="inlineStr"/>
      <c r="L5" s="16" t="inlineStr">
        <is>
          <t>Orta</t>
        </is>
      </c>
      <c r="M5" s="18" t="inlineStr"/>
    </row>
    <row r="6" ht="40" customHeight="1">
      <c r="A6" s="14" t="inlineStr">
        <is>
          <t>E05-003</t>
        </is>
      </c>
      <c r="B6" s="25" t="inlineStr">
        <is>
          <t>E05</t>
        </is>
      </c>
      <c r="C6" s="6" t="inlineStr">
        <is>
          <t>Alıcı kabul</t>
        </is>
      </c>
      <c r="D6" s="6" t="inlineStr">
        <is>
          <t>—</t>
        </is>
      </c>
      <c r="E6" s="6" t="inlineStr">
        <is>
          <t>1. Karşı teklifi kabul</t>
        </is>
      </c>
      <c r="F6" s="6" t="inlineStr">
        <is>
          <t>Sipariş otomatik oluşur; ödeme bekleniyor.</t>
        </is>
      </c>
      <c r="G6" s="6" t="inlineStr"/>
      <c r="H6" s="14" t="inlineStr">
        <is>
          <t>Beklemede</t>
        </is>
      </c>
      <c r="I6" s="25" t="inlineStr"/>
      <c r="J6" s="25" t="inlineStr"/>
      <c r="K6" s="25" t="inlineStr"/>
      <c r="L6" s="14" t="inlineStr">
        <is>
          <t>Orta</t>
        </is>
      </c>
      <c r="M6" s="6" t="inlineStr"/>
    </row>
    <row r="7" ht="40" customHeight="1">
      <c r="A7" s="16" t="inlineStr">
        <is>
          <t>E05-004</t>
        </is>
      </c>
      <c r="B7" s="26" t="inlineStr">
        <is>
          <t>E05</t>
        </is>
      </c>
      <c r="C7" s="18" t="inlineStr">
        <is>
          <t>30 dk içinde ödeme</t>
        </is>
      </c>
      <c r="D7" s="18" t="inlineStr">
        <is>
          <t>—</t>
        </is>
      </c>
      <c r="E7" s="18" t="inlineStr">
        <is>
          <t>1. PayTR ile öde</t>
        </is>
      </c>
      <c r="F7" s="18" t="inlineStr">
        <is>
          <t>Sipariş normal akışa girer.</t>
        </is>
      </c>
      <c r="G7" s="18" t="inlineStr"/>
      <c r="H7" s="16" t="inlineStr">
        <is>
          <t>Beklemede</t>
        </is>
      </c>
      <c r="I7" s="26" t="inlineStr"/>
      <c r="J7" s="26" t="inlineStr"/>
      <c r="K7" s="26" t="inlineStr"/>
      <c r="L7" s="16" t="inlineStr">
        <is>
          <t>Orta</t>
        </is>
      </c>
      <c r="M7" s="18" t="inlineStr"/>
    </row>
    <row r="8" ht="40" customHeight="1">
      <c r="A8" s="14" t="inlineStr">
        <is>
          <t>E05-005</t>
        </is>
      </c>
      <c r="B8" s="25" t="inlineStr">
        <is>
          <t>E05</t>
        </is>
      </c>
      <c r="C8" s="6" t="inlineStr">
        <is>
          <t>Ödenmedi → expire</t>
        </is>
      </c>
      <c r="D8" s="6" t="inlineStr">
        <is>
          <t>—</t>
        </is>
      </c>
      <c r="E8" s="6" t="inlineStr">
        <is>
          <t>1. 30 dk geç</t>
        </is>
      </c>
      <c r="F8" s="6" t="inlineStr">
        <is>
          <t>Sipariş iptal; teklif expired_unpaid.</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E06 — Uçtan Uca: Takas (Trade) Tam Akışı</t>
        </is>
      </c>
    </row>
    <row r="2" ht="28" customHeight="1">
      <c r="A2" s="24" t="inlineStr">
        <is>
          <t>Takas teklifi → kabul → çift kargo → tamamlama.</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E06-001</t>
        </is>
      </c>
      <c r="B4" s="25" t="inlineStr">
        <is>
          <t>E06</t>
        </is>
      </c>
      <c r="C4" s="6" t="inlineStr">
        <is>
          <t>Takas teklifi</t>
        </is>
      </c>
      <c r="D4" s="6" t="inlineStr">
        <is>
          <t>—</t>
        </is>
      </c>
      <c r="E4" s="6" t="inlineStr">
        <is>
          <t>1. Trade öner</t>
        </is>
      </c>
      <c r="F4" s="6" t="inlineStr">
        <is>
          <t>Karşı tarafa bildirim.</t>
        </is>
      </c>
      <c r="G4" s="6" t="inlineStr"/>
      <c r="H4" s="14" t="inlineStr">
        <is>
          <t>Beklemede</t>
        </is>
      </c>
      <c r="I4" s="25" t="inlineStr"/>
      <c r="J4" s="25" t="inlineStr"/>
      <c r="K4" s="25" t="inlineStr"/>
      <c r="L4" s="14" t="inlineStr">
        <is>
          <t>Orta</t>
        </is>
      </c>
      <c r="M4" s="6" t="inlineStr"/>
    </row>
    <row r="5" ht="40" customHeight="1">
      <c r="A5" s="16" t="inlineStr">
        <is>
          <t>E06-002</t>
        </is>
      </c>
      <c r="B5" s="26" t="inlineStr">
        <is>
          <t>E06</t>
        </is>
      </c>
      <c r="C5" s="18" t="inlineStr">
        <is>
          <t>Kabul + nakit fark ödemesi</t>
        </is>
      </c>
      <c r="D5" s="18" t="inlineStr">
        <is>
          <t>—</t>
        </is>
      </c>
      <c r="E5" s="18" t="inlineStr">
        <is>
          <t>1. Kabul, cash diff öde</t>
        </is>
      </c>
      <c r="F5" s="18" t="inlineStr">
        <is>
          <t>Status accepted, payment completed.</t>
        </is>
      </c>
      <c r="G5" s="18" t="inlineStr"/>
      <c r="H5" s="16" t="inlineStr">
        <is>
          <t>Beklemede</t>
        </is>
      </c>
      <c r="I5" s="26" t="inlineStr"/>
      <c r="J5" s="26" t="inlineStr"/>
      <c r="K5" s="26" t="inlineStr"/>
      <c r="L5" s="16" t="inlineStr">
        <is>
          <t>Orta</t>
        </is>
      </c>
      <c r="M5" s="18" t="inlineStr"/>
    </row>
    <row r="6" ht="40" customHeight="1">
      <c r="A6" s="14" t="inlineStr">
        <is>
          <t>E06-003</t>
        </is>
      </c>
      <c r="B6" s="25" t="inlineStr">
        <is>
          <t>E06</t>
        </is>
      </c>
      <c r="C6" s="6" t="inlineStr">
        <is>
          <t>Çift kargo</t>
        </is>
      </c>
      <c r="D6" s="6" t="inlineStr">
        <is>
          <t>—</t>
        </is>
      </c>
      <c r="E6" s="6" t="inlineStr">
        <is>
          <t>1. Iki taraf da kargo no girer</t>
        </is>
      </c>
      <c r="F6" s="6" t="inlineStr">
        <is>
          <t>Iki kargo da takip edilebilir.</t>
        </is>
      </c>
      <c r="G6" s="6" t="inlineStr"/>
      <c r="H6" s="14" t="inlineStr">
        <is>
          <t>Beklemede</t>
        </is>
      </c>
      <c r="I6" s="25" t="inlineStr"/>
      <c r="J6" s="25" t="inlineStr"/>
      <c r="K6" s="25" t="inlineStr"/>
      <c r="L6" s="14" t="inlineStr">
        <is>
          <t>Orta</t>
        </is>
      </c>
      <c r="M6" s="6" t="inlineStr"/>
    </row>
    <row r="7" ht="40" customHeight="1">
      <c r="A7" s="16" t="inlineStr">
        <is>
          <t>E06-004</t>
        </is>
      </c>
      <c r="B7" s="26" t="inlineStr">
        <is>
          <t>E06</t>
        </is>
      </c>
      <c r="C7" s="18" t="inlineStr">
        <is>
          <t>Iki taraf teslim alır</t>
        </is>
      </c>
      <c r="D7" s="18" t="inlineStr">
        <is>
          <t>—</t>
        </is>
      </c>
      <c r="E7" s="18" t="inlineStr">
        <is>
          <t>1. Iki taraf da onay</t>
        </is>
      </c>
      <c r="F7" s="18" t="inlineStr">
        <is>
          <t>Status 'completed'.</t>
        </is>
      </c>
      <c r="G7" s="18" t="inlineStr"/>
      <c r="H7" s="16" t="inlineStr">
        <is>
          <t>Beklemede</t>
        </is>
      </c>
      <c r="I7" s="26" t="inlineStr"/>
      <c r="J7" s="26" t="inlineStr"/>
      <c r="K7" s="26" t="inlineStr"/>
      <c r="L7" s="16" t="inlineStr">
        <is>
          <t>Orta</t>
        </is>
      </c>
      <c r="M7" s="18" t="inlineStr"/>
    </row>
    <row r="8" ht="40" customHeight="1">
      <c r="A8" s="14" t="inlineStr">
        <is>
          <t>E06-005</t>
        </is>
      </c>
      <c r="B8" s="25" t="inlineStr">
        <is>
          <t>E06</t>
        </is>
      </c>
      <c r="C8" s="6" t="inlineStr">
        <is>
          <t>Cash diff release</t>
        </is>
      </c>
      <c r="D8" s="6" t="inlineStr">
        <is>
          <t>—</t>
        </is>
      </c>
      <c r="E8" s="6" t="inlineStr">
        <is>
          <t>1. Escrow release</t>
        </is>
      </c>
      <c r="F8" s="6" t="inlineStr">
        <is>
          <t>Cash diff hak sahibine geçer.</t>
        </is>
      </c>
      <c r="G8" s="6" t="inlineStr"/>
      <c r="H8" s="14" t="inlineStr">
        <is>
          <t>Beklemede</t>
        </is>
      </c>
      <c r="I8" s="25" t="inlineStr"/>
      <c r="J8" s="25" t="inlineStr"/>
      <c r="K8" s="25" t="inlineStr"/>
      <c r="L8" s="14" t="inlineStr">
        <is>
          <t>Orta</t>
        </is>
      </c>
      <c r="M8" s="6" t="inlineStr"/>
    </row>
    <row r="9" ht="40" customHeight="1">
      <c r="A9" s="16" t="inlineStr">
        <is>
          <t>E06-006</t>
        </is>
      </c>
      <c r="B9" s="26" t="inlineStr">
        <is>
          <t>E06</t>
        </is>
      </c>
      <c r="C9" s="18" t="inlineStr">
        <is>
          <t>Anlaşmazlık akışı (alternatif)</t>
        </is>
      </c>
      <c r="D9" s="18" t="inlineStr">
        <is>
          <t>—</t>
        </is>
      </c>
      <c r="E9" s="18" t="inlineStr">
        <is>
          <t>1. Bir taraf dispute açar</t>
        </is>
      </c>
      <c r="F9" s="18" t="inlineStr">
        <is>
          <t>Admin'e düşer; çözüme kadar para hold'da.</t>
        </is>
      </c>
      <c r="G9" s="18" t="inlineStr"/>
      <c r="H9" s="16" t="inlineStr">
        <is>
          <t>Beklemede</t>
        </is>
      </c>
      <c r="I9" s="26" t="inlineStr"/>
      <c r="J9" s="26" t="inlineStr"/>
      <c r="K9" s="26" t="inlineStr"/>
      <c r="L9" s="16" t="inlineStr">
        <is>
          <t>Orta</t>
        </is>
      </c>
      <c r="M9" s="18" t="inlineStr"/>
    </row>
    <row r="12">
      <c r="A12" s="27" t="inlineStr">
        <is>
          <t>Bu sayfadaki tüm senaryolar test edilmiş ve sonuçlar yukarıda işaretlenmiştir.</t>
        </is>
      </c>
    </row>
    <row r="13">
      <c r="A13" s="28" t="inlineStr">
        <is>
          <t>Test Eden (Tarodan)</t>
        </is>
      </c>
      <c r="D13" s="28" t="inlineStr">
        <is>
          <t>Tarih</t>
        </is>
      </c>
      <c r="G13" s="28" t="inlineStr">
        <is>
          <t>Onaylayan (Müşteri)</t>
        </is>
      </c>
      <c r="J13" s="28" t="inlineStr">
        <is>
          <t>Tarih</t>
        </is>
      </c>
    </row>
    <row r="14">
      <c r="A14" s="7" t="n"/>
      <c r="D14" s="7" t="n"/>
      <c r="G14" s="7" t="n"/>
      <c r="J14" s="7" t="n"/>
    </row>
  </sheetData>
  <mergeCells count="7">
    <mergeCell ref="A1:M1"/>
    <mergeCell ref="J14:K14"/>
    <mergeCell ref="A12:M12"/>
    <mergeCell ref="D14:E14"/>
    <mergeCell ref="A14:B14"/>
    <mergeCell ref="G14:H14"/>
    <mergeCell ref="A2:M2"/>
  </mergeCells>
  <conditionalFormatting sqref="H4:H9">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9" showDropDown="0" showInputMessage="0" showErrorMessage="0" allowBlank="1" errorTitle="Geçersiz değer" error="Lütfen listedeki seçeneklerden birini seçin." type="list">
      <formula1>"Beklemede,Geçti,Kaldı,Bloke,Yapılamadı,N/A"</formula1>
    </dataValidation>
    <dataValidation sqref="L4:L9" showDropDown="0" showInputMessage="0" showErrorMessage="0" allowBlank="1" type="list">
      <formula1>"Kritik,Yüksek,Orta,Düşük"</formula1>
    </dataValidation>
    <dataValidation sqref="K4:K9"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E07 — Uçtan Uca: Üyelik Satın Al → Yenile → İptal</t>
        </is>
      </c>
    </row>
    <row r="2" ht="28" customHeight="1">
      <c r="A2" s="24" t="inlineStr">
        <is>
          <t>Premium üyelik yaşam döngüsü.</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E07-001</t>
        </is>
      </c>
      <c r="B4" s="25" t="inlineStr">
        <is>
          <t>E07</t>
        </is>
      </c>
      <c r="C4" s="6" t="inlineStr">
        <is>
          <t>Premium satın alma</t>
        </is>
      </c>
      <c r="D4" s="6" t="inlineStr">
        <is>
          <t>—</t>
        </is>
      </c>
      <c r="E4" s="6" t="inlineStr">
        <is>
          <t>1. /pricing → premium → öde</t>
        </is>
      </c>
      <c r="F4" s="6" t="inlineStr">
        <is>
          <t>Üyelik aktif; başarı + mail + fatura.</t>
        </is>
      </c>
      <c r="G4" s="6" t="inlineStr"/>
      <c r="H4" s="14" t="inlineStr">
        <is>
          <t>Beklemede</t>
        </is>
      </c>
      <c r="I4" s="25" t="inlineStr"/>
      <c r="J4" s="25" t="inlineStr"/>
      <c r="K4" s="25" t="inlineStr"/>
      <c r="L4" s="14" t="inlineStr">
        <is>
          <t>Orta</t>
        </is>
      </c>
      <c r="M4" s="6" t="inlineStr"/>
    </row>
    <row r="5" ht="40" customHeight="1">
      <c r="A5" s="16" t="inlineStr">
        <is>
          <t>E07-002</t>
        </is>
      </c>
      <c r="B5" s="26" t="inlineStr">
        <is>
          <t>E07</t>
        </is>
      </c>
      <c r="C5" s="18" t="inlineStr">
        <is>
          <t>Avantaj uygulanması</t>
        </is>
      </c>
      <c r="D5" s="18" t="inlineStr">
        <is>
          <t>—</t>
        </is>
      </c>
      <c r="E5" s="18" t="inlineStr">
        <is>
          <t>1. İlan limit, komisyon kontrol</t>
        </is>
      </c>
      <c r="F5" s="18" t="inlineStr">
        <is>
          <t>Tier kuralları geçerli.</t>
        </is>
      </c>
      <c r="G5" s="18" t="inlineStr"/>
      <c r="H5" s="16" t="inlineStr">
        <is>
          <t>Beklemede</t>
        </is>
      </c>
      <c r="I5" s="26" t="inlineStr"/>
      <c r="J5" s="26" t="inlineStr"/>
      <c r="K5" s="26" t="inlineStr"/>
      <c r="L5" s="16" t="inlineStr">
        <is>
          <t>Orta</t>
        </is>
      </c>
      <c r="M5" s="18" t="inlineStr"/>
    </row>
    <row r="6" ht="40" customHeight="1">
      <c r="A6" s="14" t="inlineStr">
        <is>
          <t>E07-003</t>
        </is>
      </c>
      <c r="B6" s="25" t="inlineStr">
        <is>
          <t>E07</t>
        </is>
      </c>
      <c r="C6" s="6" t="inlineStr">
        <is>
          <t>7 gün kala uyarı</t>
        </is>
      </c>
      <c r="D6" s="6" t="inlineStr">
        <is>
          <t>—</t>
        </is>
      </c>
      <c r="E6" s="6" t="inlineStr">
        <is>
          <t>1. Cron</t>
        </is>
      </c>
      <c r="F6" s="6" t="inlineStr">
        <is>
          <t>Mail bildirimi.</t>
        </is>
      </c>
      <c r="G6" s="6" t="inlineStr"/>
      <c r="H6" s="14" t="inlineStr">
        <is>
          <t>Beklemede</t>
        </is>
      </c>
      <c r="I6" s="25" t="inlineStr"/>
      <c r="J6" s="25" t="inlineStr"/>
      <c r="K6" s="25" t="inlineStr"/>
      <c r="L6" s="14" t="inlineStr">
        <is>
          <t>Orta</t>
        </is>
      </c>
      <c r="M6" s="6" t="inlineStr"/>
    </row>
    <row r="7" ht="40" customHeight="1">
      <c r="A7" s="16" t="inlineStr">
        <is>
          <t>E07-004</t>
        </is>
      </c>
      <c r="B7" s="26" t="inlineStr">
        <is>
          <t>E07</t>
        </is>
      </c>
      <c r="C7" s="18" t="inlineStr">
        <is>
          <t>1 gün kala uyarı</t>
        </is>
      </c>
      <c r="D7" s="18" t="inlineStr">
        <is>
          <t>—</t>
        </is>
      </c>
      <c r="E7" s="18" t="inlineStr">
        <is>
          <t>1. Cron</t>
        </is>
      </c>
      <c r="F7" s="18" t="inlineStr">
        <is>
          <t>Acil mail.</t>
        </is>
      </c>
      <c r="G7" s="18" t="inlineStr"/>
      <c r="H7" s="16" t="inlineStr">
        <is>
          <t>Beklemede</t>
        </is>
      </c>
      <c r="I7" s="26" t="inlineStr"/>
      <c r="J7" s="26" t="inlineStr"/>
      <c r="K7" s="26" t="inlineStr"/>
      <c r="L7" s="16" t="inlineStr">
        <is>
          <t>Orta</t>
        </is>
      </c>
      <c r="M7" s="18" t="inlineStr"/>
    </row>
    <row r="8" ht="40" customHeight="1">
      <c r="A8" s="14" t="inlineStr">
        <is>
          <t>E07-005</t>
        </is>
      </c>
      <c r="B8" s="25" t="inlineStr">
        <is>
          <t>E07</t>
        </is>
      </c>
      <c r="C8" s="6" t="inlineStr">
        <is>
          <t>Yenileme</t>
        </is>
      </c>
      <c r="D8" s="6" t="inlineStr">
        <is>
          <t>—</t>
        </is>
      </c>
      <c r="E8" s="6" t="inlineStr">
        <is>
          <t>1. /membership/manage → Yenile</t>
        </is>
      </c>
      <c r="F8" s="6" t="inlineStr">
        <is>
          <t>Periyot uzar; yeni fatura.</t>
        </is>
      </c>
      <c r="G8" s="6" t="inlineStr"/>
      <c r="H8" s="14" t="inlineStr">
        <is>
          <t>Beklemede</t>
        </is>
      </c>
      <c r="I8" s="25" t="inlineStr"/>
      <c r="J8" s="25" t="inlineStr"/>
      <c r="K8" s="25" t="inlineStr"/>
      <c r="L8" s="14" t="inlineStr">
        <is>
          <t>Orta</t>
        </is>
      </c>
      <c r="M8" s="6" t="inlineStr"/>
    </row>
    <row r="9" ht="40" customHeight="1">
      <c r="A9" s="16" t="inlineStr">
        <is>
          <t>E07-006</t>
        </is>
      </c>
      <c r="B9" s="26" t="inlineStr">
        <is>
          <t>E07</t>
        </is>
      </c>
      <c r="C9" s="18" t="inlineStr">
        <is>
          <t>İptal</t>
        </is>
      </c>
      <c r="D9" s="18" t="inlineStr">
        <is>
          <t>—</t>
        </is>
      </c>
      <c r="E9" s="18" t="inlineStr">
        <is>
          <t>1. Yenilemeyi iptal et</t>
        </is>
      </c>
      <c r="F9" s="18" t="inlineStr">
        <is>
          <t>Süre sonuna kadar aktif kalır; mail bilgi.</t>
        </is>
      </c>
      <c r="G9" s="18" t="inlineStr"/>
      <c r="H9" s="16" t="inlineStr">
        <is>
          <t>Beklemede</t>
        </is>
      </c>
      <c r="I9" s="26" t="inlineStr"/>
      <c r="J9" s="26" t="inlineStr"/>
      <c r="K9" s="26" t="inlineStr"/>
      <c r="L9" s="16" t="inlineStr">
        <is>
          <t>Orta</t>
        </is>
      </c>
      <c r="M9" s="18" t="inlineStr"/>
    </row>
    <row r="10" ht="40" customHeight="1">
      <c r="A10" s="14" t="inlineStr">
        <is>
          <t>E07-007</t>
        </is>
      </c>
      <c r="B10" s="25" t="inlineStr">
        <is>
          <t>E07</t>
        </is>
      </c>
      <c r="C10" s="6" t="inlineStr">
        <is>
          <t>Süresi bitti — Free'ye düş</t>
        </is>
      </c>
      <c r="D10" s="6" t="inlineStr">
        <is>
          <t>—</t>
        </is>
      </c>
      <c r="E10" s="6" t="inlineStr">
        <is>
          <t>1. Period end geç</t>
        </is>
      </c>
      <c r="F10" s="6" t="inlineStr">
        <is>
          <t>Free tier; ilan limiti uygulanır; mail.</t>
        </is>
      </c>
      <c r="G10" s="6" t="inlineStr"/>
      <c r="H10" s="14" t="inlineStr">
        <is>
          <t>Beklemede</t>
        </is>
      </c>
      <c r="I10" s="25" t="inlineStr"/>
      <c r="J10" s="25" t="inlineStr"/>
      <c r="K10" s="25" t="inlineStr"/>
      <c r="L10" s="14" t="inlineStr">
        <is>
          <t>Orta</t>
        </is>
      </c>
      <c r="M10" s="6" t="inlineStr"/>
    </row>
    <row r="13">
      <c r="A13" s="27" t="inlineStr">
        <is>
          <t>Bu sayfadaki tüm senaryolar test edilmiş ve sonuçlar yukarıda işaretlenmiştir.</t>
        </is>
      </c>
    </row>
    <row r="14">
      <c r="A14" s="28" t="inlineStr">
        <is>
          <t>Test Eden (Tarodan)</t>
        </is>
      </c>
      <c r="D14" s="28" t="inlineStr">
        <is>
          <t>Tarih</t>
        </is>
      </c>
      <c r="G14" s="28" t="inlineStr">
        <is>
          <t>Onaylayan (Müşteri)</t>
        </is>
      </c>
      <c r="J14" s="28" t="inlineStr">
        <is>
          <t>Tarih</t>
        </is>
      </c>
    </row>
    <row r="15">
      <c r="A15" s="7" t="n"/>
      <c r="D15" s="7" t="n"/>
      <c r="G15" s="7" t="n"/>
      <c r="J15" s="7" t="n"/>
    </row>
  </sheetData>
  <mergeCells count="7">
    <mergeCell ref="A13:M13"/>
    <mergeCell ref="A1:M1"/>
    <mergeCell ref="A15:B15"/>
    <mergeCell ref="D15:E15"/>
    <mergeCell ref="G15:H15"/>
    <mergeCell ref="J15:K15"/>
    <mergeCell ref="A2:M2"/>
  </mergeCells>
  <conditionalFormatting sqref="H4:H10">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0" showDropDown="0" showInputMessage="0" showErrorMessage="0" allowBlank="1" errorTitle="Geçersiz değer" error="Lütfen listedeki seçeneklerden birini seçin." type="list">
      <formula1>"Beklemede,Geçti,Kaldı,Bloke,Yapılamadı,N/A"</formula1>
    </dataValidation>
    <dataValidation sqref="L4:L10" showDropDown="0" showInputMessage="0" showErrorMessage="0" allowBlank="1" type="list">
      <formula1>"Kritik,Yüksek,Orta,Düşük"</formula1>
    </dataValidation>
    <dataValidation sqref="K4:K10"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E08 — Uçtan Uca: Şifre Unuttum → Sıfırla → Giriş</t>
        </is>
      </c>
    </row>
    <row r="2" ht="28" customHeight="1">
      <c r="A2" s="24" t="inlineStr">
        <is>
          <t>Şifre sıfırlama tam akışı.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E08-001</t>
        </is>
      </c>
      <c r="B4" s="25" t="inlineStr">
        <is>
          <t>E08</t>
        </is>
      </c>
      <c r="C4" s="6" t="inlineStr">
        <is>
          <t>/forgot-password formu</t>
        </is>
      </c>
      <c r="D4" s="6" t="inlineStr">
        <is>
          <t>—</t>
        </is>
      </c>
      <c r="E4" s="6" t="inlineStr">
        <is>
          <t>1. E-posta gir, gönder</t>
        </is>
      </c>
      <c r="F4" s="6" t="inlineStr">
        <is>
          <t>Mail gider (kayıtsız e-postada da generic mesaj).</t>
        </is>
      </c>
      <c r="G4" s="6" t="inlineStr"/>
      <c r="H4" s="14" t="inlineStr">
        <is>
          <t>Beklemede</t>
        </is>
      </c>
      <c r="I4" s="25" t="inlineStr"/>
      <c r="J4" s="25" t="inlineStr"/>
      <c r="K4" s="25" t="inlineStr"/>
      <c r="L4" s="14" t="inlineStr">
        <is>
          <t>Orta</t>
        </is>
      </c>
      <c r="M4" s="6" t="inlineStr"/>
    </row>
    <row r="5" ht="40" customHeight="1">
      <c r="A5" s="16" t="inlineStr">
        <is>
          <t>E08-002</t>
        </is>
      </c>
      <c r="B5" s="26" t="inlineStr">
        <is>
          <t>E08</t>
        </is>
      </c>
      <c r="C5" s="18" t="inlineStr">
        <is>
          <t>Linke tıklama</t>
        </is>
      </c>
      <c r="D5" s="18" t="inlineStr">
        <is>
          <t>—</t>
        </is>
      </c>
      <c r="E5" s="18" t="inlineStr">
        <is>
          <t>1. Maildeki linke tıkla</t>
        </is>
      </c>
      <c r="F5" s="18" t="inlineStr">
        <is>
          <t>/reset-password açılır.</t>
        </is>
      </c>
      <c r="G5" s="18" t="inlineStr"/>
      <c r="H5" s="16" t="inlineStr">
        <is>
          <t>Beklemede</t>
        </is>
      </c>
      <c r="I5" s="26" t="inlineStr"/>
      <c r="J5" s="26" t="inlineStr"/>
      <c r="K5" s="26" t="inlineStr"/>
      <c r="L5" s="16" t="inlineStr">
        <is>
          <t>Orta</t>
        </is>
      </c>
      <c r="M5" s="18" t="inlineStr"/>
    </row>
    <row r="6" ht="40" customHeight="1">
      <c r="A6" s="14" t="inlineStr">
        <is>
          <t>E08-003</t>
        </is>
      </c>
      <c r="B6" s="25" t="inlineStr">
        <is>
          <t>E08</t>
        </is>
      </c>
      <c r="C6" s="6" t="inlineStr">
        <is>
          <t>Yeni şifre belirleme</t>
        </is>
      </c>
      <c r="D6" s="6" t="inlineStr">
        <is>
          <t>—</t>
        </is>
      </c>
      <c r="E6" s="6" t="inlineStr">
        <is>
          <t>1. Yeni şifre x2 gir, kaydet</t>
        </is>
      </c>
      <c r="F6" s="6" t="inlineStr">
        <is>
          <t>Başarılı; login'e yönlendir.</t>
        </is>
      </c>
      <c r="G6" s="6" t="inlineStr"/>
      <c r="H6" s="14" t="inlineStr">
        <is>
          <t>Beklemede</t>
        </is>
      </c>
      <c r="I6" s="25" t="inlineStr"/>
      <c r="J6" s="25" t="inlineStr"/>
      <c r="K6" s="25" t="inlineStr"/>
      <c r="L6" s="14" t="inlineStr">
        <is>
          <t>Orta</t>
        </is>
      </c>
      <c r="M6" s="6" t="inlineStr"/>
    </row>
    <row r="7" ht="40" customHeight="1">
      <c r="A7" s="16" t="inlineStr">
        <is>
          <t>E08-004</t>
        </is>
      </c>
      <c r="B7" s="26" t="inlineStr">
        <is>
          <t>E08</t>
        </is>
      </c>
      <c r="C7" s="18" t="inlineStr">
        <is>
          <t>Yeni şifre ile giriş</t>
        </is>
      </c>
      <c r="D7" s="18" t="inlineStr">
        <is>
          <t>—</t>
        </is>
      </c>
      <c r="E7" s="18" t="inlineStr">
        <is>
          <t>1. Login dene</t>
        </is>
      </c>
      <c r="F7" s="18" t="inlineStr">
        <is>
          <t>Giriş başarılı.</t>
        </is>
      </c>
      <c r="G7" s="18" t="inlineStr"/>
      <c r="H7" s="16" t="inlineStr">
        <is>
          <t>Beklemede</t>
        </is>
      </c>
      <c r="I7" s="26" t="inlineStr"/>
      <c r="J7" s="26" t="inlineStr"/>
      <c r="K7" s="26" t="inlineStr"/>
      <c r="L7" s="16" t="inlineStr">
        <is>
          <t>Orta</t>
        </is>
      </c>
      <c r="M7" s="18" t="inlineStr"/>
    </row>
    <row r="8" ht="40" customHeight="1">
      <c r="A8" s="14" t="inlineStr">
        <is>
          <t>E08-005</t>
        </is>
      </c>
      <c r="B8" s="25" t="inlineStr">
        <is>
          <t>E08</t>
        </is>
      </c>
      <c r="C8" s="6" t="inlineStr">
        <is>
          <t>Eski şifre artık çalışmıyor</t>
        </is>
      </c>
      <c r="D8" s="6" t="inlineStr">
        <is>
          <t>—</t>
        </is>
      </c>
      <c r="E8" s="6" t="inlineStr">
        <is>
          <t>1. Eski şifreyle dene</t>
        </is>
      </c>
      <c r="F8" s="6" t="inlineStr">
        <is>
          <t>Hata.</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E09 — Uçtan Uca: Stok Race Condition Testi</t>
        </is>
      </c>
    </row>
    <row r="2" ht="28" customHeight="1">
      <c r="A2" s="24" t="inlineStr">
        <is>
          <t>Aynı anda iki kullanıcı aynı tek-stok ürünü satın alır.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E09-001</t>
        </is>
      </c>
      <c r="B4" s="25" t="inlineStr">
        <is>
          <t>E09</t>
        </is>
      </c>
      <c r="C4" s="6" t="inlineStr">
        <is>
          <t>İki sekmede aynı ürün</t>
        </is>
      </c>
      <c r="D4" s="6" t="inlineStr">
        <is>
          <t>Quantity = 1.</t>
        </is>
      </c>
      <c r="E4" s="6" t="inlineStr">
        <is>
          <t>1. İki tarayıcıda da sepete ekle, ödemeye geç</t>
        </is>
      </c>
      <c r="F4" s="6" t="inlineStr">
        <is>
          <t>Her iki sepete de eklenir.</t>
        </is>
      </c>
      <c r="G4" s="6" t="inlineStr"/>
      <c r="H4" s="14" t="inlineStr">
        <is>
          <t>Beklemede</t>
        </is>
      </c>
      <c r="I4" s="25" t="inlineStr"/>
      <c r="J4" s="25" t="inlineStr"/>
      <c r="K4" s="25" t="inlineStr"/>
      <c r="L4" s="14" t="inlineStr">
        <is>
          <t>Orta</t>
        </is>
      </c>
      <c r="M4" s="6" t="inlineStr"/>
    </row>
    <row r="5" ht="40" customHeight="1">
      <c r="A5" s="16" t="inlineStr">
        <is>
          <t>E09-002</t>
        </is>
      </c>
      <c r="B5" s="26" t="inlineStr">
        <is>
          <t>E09</t>
        </is>
      </c>
      <c r="C5" s="18" t="inlineStr">
        <is>
          <t>İki ödeme aynı anda</t>
        </is>
      </c>
      <c r="D5" s="18" t="inlineStr">
        <is>
          <t>—</t>
        </is>
      </c>
      <c r="E5" s="18" t="inlineStr">
        <is>
          <t>1. İkisi de PayTR'a yönlenip ödeme yapmaya çalışır</t>
        </is>
      </c>
      <c r="F5" s="18" t="inlineStr">
        <is>
          <t>Sadece bir tanesi başarılı; diğeri 'stok kalmadı' hatası alır.</t>
        </is>
      </c>
      <c r="G5" s="18" t="inlineStr"/>
      <c r="H5" s="16" t="inlineStr">
        <is>
          <t>Beklemede</t>
        </is>
      </c>
      <c r="I5" s="26" t="inlineStr"/>
      <c r="J5" s="26" t="inlineStr"/>
      <c r="K5" s="26" t="inlineStr"/>
      <c r="L5" s="16" t="inlineStr">
        <is>
          <t>Kritik</t>
        </is>
      </c>
      <c r="M5" s="18" t="inlineStr"/>
    </row>
    <row r="6" ht="40" customHeight="1">
      <c r="A6" s="14" t="inlineStr">
        <is>
          <t>E09-003</t>
        </is>
      </c>
      <c r="B6" s="25" t="inlineStr">
        <is>
          <t>E09</t>
        </is>
      </c>
      <c r="C6" s="6" t="inlineStr">
        <is>
          <t>Başarısız sipariş için iade</t>
        </is>
      </c>
      <c r="D6" s="6" t="inlineStr">
        <is>
          <t>İkincisi ödeme tamamladıysa.</t>
        </is>
      </c>
      <c r="E6" s="6" t="inlineStr">
        <is>
          <t>1. —</t>
        </is>
      </c>
      <c r="F6" s="6" t="inlineStr">
        <is>
          <t>Otomatik refund tetiklenir; mail bilgi.</t>
        </is>
      </c>
      <c r="G6" s="6" t="inlineStr"/>
      <c r="H6" s="14" t="inlineStr">
        <is>
          <t>Beklemede</t>
        </is>
      </c>
      <c r="I6" s="25" t="inlineStr"/>
      <c r="J6" s="25" t="inlineStr"/>
      <c r="K6" s="25" t="inlineStr"/>
      <c r="L6" s="14" t="inlineStr">
        <is>
          <t>Orta</t>
        </is>
      </c>
      <c r="M6" s="6" t="inlineStr"/>
    </row>
    <row r="7" ht="40" customHeight="1">
      <c r="A7" s="16" t="inlineStr">
        <is>
          <t>E09-004</t>
        </is>
      </c>
      <c r="B7" s="26" t="inlineStr">
        <is>
          <t>E09</t>
        </is>
      </c>
      <c r="C7" s="18" t="inlineStr">
        <is>
          <t>Stok 0 olur</t>
        </is>
      </c>
      <c r="D7" s="18" t="inlineStr">
        <is>
          <t>—</t>
        </is>
      </c>
      <c r="E7" s="18" t="inlineStr">
        <is>
          <t>1. Ürün detay yenile</t>
        </is>
      </c>
      <c r="F7" s="18" t="inlineStr">
        <is>
          <t>Satıldı görünür; sepete ekle disabled.</t>
        </is>
      </c>
      <c r="G7" s="18" t="inlineStr"/>
      <c r="H7" s="16" t="inlineStr">
        <is>
          <t>Beklemede</t>
        </is>
      </c>
      <c r="I7" s="26" t="inlineStr"/>
      <c r="J7" s="26" t="inlineStr"/>
      <c r="K7" s="26" t="inlineStr"/>
      <c r="L7" s="16" t="inlineStr">
        <is>
          <t>Orta</t>
        </is>
      </c>
      <c r="M7" s="18" t="inlineStr"/>
    </row>
    <row r="10">
      <c r="A10" s="27" t="inlineStr">
        <is>
          <t>Bu sayfadaki tüm senaryolar test edilmiş ve sonuçlar yukarıda işaretlenmiştir.</t>
        </is>
      </c>
    </row>
    <row r="11">
      <c r="A11" s="28" t="inlineStr">
        <is>
          <t>Test Eden (Tarodan)</t>
        </is>
      </c>
      <c r="D11" s="28" t="inlineStr">
        <is>
          <t>Tarih</t>
        </is>
      </c>
      <c r="G11" s="28" t="inlineStr">
        <is>
          <t>Onaylayan (Müşteri)</t>
        </is>
      </c>
      <c r="J11" s="28" t="inlineStr">
        <is>
          <t>Tarih</t>
        </is>
      </c>
    </row>
    <row r="12">
      <c r="A12" s="7" t="n"/>
      <c r="D12" s="7" t="n"/>
      <c r="G12" s="7" t="n"/>
      <c r="J12" s="7" t="n"/>
    </row>
  </sheetData>
  <mergeCells count="7">
    <mergeCell ref="G12:H12"/>
    <mergeCell ref="A1:M1"/>
    <mergeCell ref="J12:K12"/>
    <mergeCell ref="A10:M10"/>
    <mergeCell ref="A2:M2"/>
    <mergeCell ref="D12:E12"/>
    <mergeCell ref="A12:B12"/>
  </mergeCells>
  <conditionalFormatting sqref="H4:H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7" showDropDown="0" showInputMessage="0" showErrorMessage="0" allowBlank="1" errorTitle="Geçersiz değer" error="Lütfen listedeki seçeneklerden birini seçin." type="list">
      <formula1>"Beklemede,Geçti,Kaldı,Bloke,Yapılamadı,N/A"</formula1>
    </dataValidation>
    <dataValidation sqref="L4:L7" showDropDown="0" showInputMessage="0" showErrorMessage="0" allowBlank="1" type="list">
      <formula1>"Kritik,Yüksek,Orta,Düşük"</formula1>
    </dataValidation>
    <dataValidation sqref="K4:K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E10 — Uçtan Uca: Tüm Bildirim Kanalları Doğrulama</t>
        </is>
      </c>
    </row>
    <row r="2" ht="28" customHeight="1">
      <c r="A2" s="24" t="inlineStr">
        <is>
          <t>Bir sipariş yaşam döngüsünde tetiklenen tüm mail/push/in-app bildirimler.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E10-001</t>
        </is>
      </c>
      <c r="B4" s="25" t="inlineStr">
        <is>
          <t>E10</t>
        </is>
      </c>
      <c r="C4" s="6" t="inlineStr">
        <is>
          <t>Sipariş oluşturuldu — alıcı maili</t>
        </is>
      </c>
      <c r="D4" s="6" t="inlineStr">
        <is>
          <t>—</t>
        </is>
      </c>
      <c r="E4" s="6" t="inlineStr">
        <is>
          <t>1. Sipariş oluştur</t>
        </is>
      </c>
      <c r="F4" s="6" t="inlineStr">
        <is>
          <t>Alıcıya mail + in-app + (varsa) push.</t>
        </is>
      </c>
      <c r="G4" s="6" t="inlineStr"/>
      <c r="H4" s="14" t="inlineStr">
        <is>
          <t>Beklemede</t>
        </is>
      </c>
      <c r="I4" s="25" t="inlineStr"/>
      <c r="J4" s="25" t="inlineStr"/>
      <c r="K4" s="25" t="inlineStr"/>
      <c r="L4" s="14" t="inlineStr">
        <is>
          <t>Orta</t>
        </is>
      </c>
      <c r="M4" s="6" t="inlineStr"/>
    </row>
    <row r="5" ht="40" customHeight="1">
      <c r="A5" s="16" t="inlineStr">
        <is>
          <t>E10-002</t>
        </is>
      </c>
      <c r="B5" s="26" t="inlineStr">
        <is>
          <t>E10</t>
        </is>
      </c>
      <c r="C5" s="18" t="inlineStr">
        <is>
          <t>Sipariş oluşturuldu — satıcı maili</t>
        </is>
      </c>
      <c r="D5" s="18" t="inlineStr">
        <is>
          <t>—</t>
        </is>
      </c>
      <c r="E5" s="18" t="inlineStr">
        <is>
          <t>1. —</t>
        </is>
      </c>
      <c r="F5" s="18" t="inlineStr">
        <is>
          <t>Satıcıya 'yeni sipariş' bildirimi.</t>
        </is>
      </c>
      <c r="G5" s="18" t="inlineStr"/>
      <c r="H5" s="16" t="inlineStr">
        <is>
          <t>Beklemede</t>
        </is>
      </c>
      <c r="I5" s="26" t="inlineStr"/>
      <c r="J5" s="26" t="inlineStr"/>
      <c r="K5" s="26" t="inlineStr"/>
      <c r="L5" s="16" t="inlineStr">
        <is>
          <t>Orta</t>
        </is>
      </c>
      <c r="M5" s="18" t="inlineStr"/>
    </row>
    <row r="6" ht="40" customHeight="1">
      <c r="A6" s="14" t="inlineStr">
        <is>
          <t>E10-003</t>
        </is>
      </c>
      <c r="B6" s="25" t="inlineStr">
        <is>
          <t>E10</t>
        </is>
      </c>
      <c r="C6" s="6" t="inlineStr">
        <is>
          <t>Ödeme onaylandı bildirimi</t>
        </is>
      </c>
      <c r="D6" s="6" t="inlineStr">
        <is>
          <t>—</t>
        </is>
      </c>
      <c r="E6" s="6" t="inlineStr">
        <is>
          <t>1. —</t>
        </is>
      </c>
      <c r="F6" s="6" t="inlineStr">
        <is>
          <t>Iki tarafa da bildirim.</t>
        </is>
      </c>
      <c r="G6" s="6" t="inlineStr"/>
      <c r="H6" s="14" t="inlineStr">
        <is>
          <t>Beklemede</t>
        </is>
      </c>
      <c r="I6" s="25" t="inlineStr"/>
      <c r="J6" s="25" t="inlineStr"/>
      <c r="K6" s="25" t="inlineStr"/>
      <c r="L6" s="14" t="inlineStr">
        <is>
          <t>Orta</t>
        </is>
      </c>
      <c r="M6" s="6" t="inlineStr"/>
    </row>
    <row r="7" ht="40" customHeight="1">
      <c r="A7" s="16" t="inlineStr">
        <is>
          <t>E10-004</t>
        </is>
      </c>
      <c r="B7" s="26" t="inlineStr">
        <is>
          <t>E10</t>
        </is>
      </c>
      <c r="C7" s="18" t="inlineStr">
        <is>
          <t>Kargolandı bildirimi</t>
        </is>
      </c>
      <c r="D7" s="18" t="inlineStr">
        <is>
          <t>—</t>
        </is>
      </c>
      <c r="E7" s="18" t="inlineStr">
        <is>
          <t>1. Satıcı kargo girer</t>
        </is>
      </c>
      <c r="F7" s="18" t="inlineStr">
        <is>
          <t>Alıcıya mail + tracking.</t>
        </is>
      </c>
      <c r="G7" s="18" t="inlineStr"/>
      <c r="H7" s="16" t="inlineStr">
        <is>
          <t>Beklemede</t>
        </is>
      </c>
      <c r="I7" s="26" t="inlineStr"/>
      <c r="J7" s="26" t="inlineStr"/>
      <c r="K7" s="26" t="inlineStr"/>
      <c r="L7" s="16" t="inlineStr">
        <is>
          <t>Orta</t>
        </is>
      </c>
      <c r="M7" s="18" t="inlineStr"/>
    </row>
    <row r="8" ht="40" customHeight="1">
      <c r="A8" s="14" t="inlineStr">
        <is>
          <t>E10-005</t>
        </is>
      </c>
      <c r="B8" s="25" t="inlineStr">
        <is>
          <t>E10</t>
        </is>
      </c>
      <c r="C8" s="6" t="inlineStr">
        <is>
          <t>Teslim edildi bildirimi</t>
        </is>
      </c>
      <c r="D8" s="6" t="inlineStr">
        <is>
          <t>—</t>
        </is>
      </c>
      <c r="E8" s="6" t="inlineStr">
        <is>
          <t>1. Webhook delivered</t>
        </is>
      </c>
      <c r="F8" s="6" t="inlineStr">
        <is>
          <t>Alıcıya teslim maili + yorum CTA.</t>
        </is>
      </c>
      <c r="G8" s="6" t="inlineStr"/>
      <c r="H8" s="14" t="inlineStr">
        <is>
          <t>Beklemede</t>
        </is>
      </c>
      <c r="I8" s="25" t="inlineStr"/>
      <c r="J8" s="25" t="inlineStr"/>
      <c r="K8" s="25" t="inlineStr"/>
      <c r="L8" s="14" t="inlineStr">
        <is>
          <t>Orta</t>
        </is>
      </c>
      <c r="M8" s="6" t="inlineStr"/>
    </row>
    <row r="9" ht="40" customHeight="1">
      <c r="A9" s="16" t="inlineStr">
        <is>
          <t>E10-006</t>
        </is>
      </c>
      <c r="B9" s="26" t="inlineStr">
        <is>
          <t>E10</t>
        </is>
      </c>
      <c r="C9" s="18" t="inlineStr">
        <is>
          <t>Fatura maili</t>
        </is>
      </c>
      <c r="D9" s="18" t="inlineStr">
        <is>
          <t>—</t>
        </is>
      </c>
      <c r="E9" s="18" t="inlineStr">
        <is>
          <t>1. —</t>
        </is>
      </c>
      <c r="F9" s="18" t="inlineStr">
        <is>
          <t>PDF link.</t>
        </is>
      </c>
      <c r="G9" s="18" t="inlineStr"/>
      <c r="H9" s="16" t="inlineStr">
        <is>
          <t>Beklemede</t>
        </is>
      </c>
      <c r="I9" s="26" t="inlineStr"/>
      <c r="J9" s="26" t="inlineStr"/>
      <c r="K9" s="26" t="inlineStr"/>
      <c r="L9" s="16" t="inlineStr">
        <is>
          <t>Orta</t>
        </is>
      </c>
      <c r="M9" s="18" t="inlineStr"/>
    </row>
    <row r="10" ht="40" customHeight="1">
      <c r="A10" s="14" t="inlineStr">
        <is>
          <t>E10-007</t>
        </is>
      </c>
      <c r="B10" s="25" t="inlineStr">
        <is>
          <t>E10</t>
        </is>
      </c>
      <c r="C10" s="6" t="inlineStr">
        <is>
          <t>Payout başarılı bildirimi</t>
        </is>
      </c>
      <c r="D10" s="6" t="inlineStr">
        <is>
          <t>—</t>
        </is>
      </c>
      <c r="E10" s="6" t="inlineStr">
        <is>
          <t>1. —</t>
        </is>
      </c>
      <c r="F10" s="6" t="inlineStr">
        <is>
          <t>Satıcıya 'ödemeniz hesabınızda' maili.</t>
        </is>
      </c>
      <c r="G10" s="6" t="inlineStr"/>
      <c r="H10" s="14" t="inlineStr">
        <is>
          <t>Beklemede</t>
        </is>
      </c>
      <c r="I10" s="25" t="inlineStr"/>
      <c r="J10" s="25" t="inlineStr"/>
      <c r="K10" s="25" t="inlineStr"/>
      <c r="L10" s="14" t="inlineStr">
        <is>
          <t>Orta</t>
        </is>
      </c>
      <c r="M10" s="6" t="inlineStr"/>
    </row>
    <row r="11" ht="40" customHeight="1">
      <c r="A11" s="16" t="inlineStr">
        <is>
          <t>E10-008</t>
        </is>
      </c>
      <c r="B11" s="26" t="inlineStr">
        <is>
          <t>E10</t>
        </is>
      </c>
      <c r="C11" s="18" t="inlineStr">
        <is>
          <t>Mail spam klasörüne düşmeme</t>
        </is>
      </c>
      <c r="D11" s="18" t="inlineStr">
        <is>
          <t>—</t>
        </is>
      </c>
      <c r="E11" s="18" t="inlineStr">
        <is>
          <t>1. Gmail/outlook gibi 3 farklı sağlayıcı</t>
        </is>
      </c>
      <c r="F11" s="18" t="inlineStr">
        <is>
          <t>Inbox'a düşer; SPF/DKIM/DMARC OK.</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C01 — Tüm Mail Bildirimleri Matrisi</t>
        </is>
      </c>
    </row>
    <row r="2" ht="28" customHeight="1">
      <c r="A2" s="24" t="inlineStr">
        <is>
          <t>Hangi olay → hangi mail/şablon → kime → kanallar.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C01-001</t>
        </is>
      </c>
      <c r="B4" s="25" t="inlineStr">
        <is>
          <t>C01</t>
        </is>
      </c>
      <c r="C4" s="6" t="inlineStr">
        <is>
          <t>Hoş geldiniz maili</t>
        </is>
      </c>
      <c r="D4" s="6" t="inlineStr">
        <is>
          <t>Yeni kayıt.</t>
        </is>
      </c>
      <c r="E4" s="6" t="inlineStr">
        <is>
          <t>1. Kayıt ol</t>
        </is>
      </c>
      <c r="F4" s="6" t="inlineStr">
        <is>
          <t>Welcome maili kullanıcıya.</t>
        </is>
      </c>
      <c r="G4" s="6" t="inlineStr"/>
      <c r="H4" s="14" t="inlineStr">
        <is>
          <t>Beklemede</t>
        </is>
      </c>
      <c r="I4" s="25" t="inlineStr"/>
      <c r="J4" s="25" t="inlineStr"/>
      <c r="K4" s="25" t="inlineStr"/>
      <c r="L4" s="14" t="inlineStr">
        <is>
          <t>Orta</t>
        </is>
      </c>
      <c r="M4" s="6" t="inlineStr"/>
    </row>
    <row r="5" ht="40" customHeight="1">
      <c r="A5" s="16" t="inlineStr">
        <is>
          <t>C01-002</t>
        </is>
      </c>
      <c r="B5" s="26" t="inlineStr">
        <is>
          <t>C01</t>
        </is>
      </c>
      <c r="C5" s="18" t="inlineStr">
        <is>
          <t>E-posta doğrulama maili</t>
        </is>
      </c>
      <c r="D5" s="18" t="inlineStr">
        <is>
          <t>—</t>
        </is>
      </c>
      <c r="E5" s="18" t="inlineStr">
        <is>
          <t>1. Kayıt sonrası</t>
        </is>
      </c>
      <c r="F5" s="18" t="inlineStr">
        <is>
          <t>Doğrulama linki içerir.</t>
        </is>
      </c>
      <c r="G5" s="18" t="inlineStr"/>
      <c r="H5" s="16" t="inlineStr">
        <is>
          <t>Beklemede</t>
        </is>
      </c>
      <c r="I5" s="26" t="inlineStr"/>
      <c r="J5" s="26" t="inlineStr"/>
      <c r="K5" s="26" t="inlineStr"/>
      <c r="L5" s="16" t="inlineStr">
        <is>
          <t>Orta</t>
        </is>
      </c>
      <c r="M5" s="18" t="inlineStr"/>
    </row>
    <row r="6" ht="40" customHeight="1">
      <c r="A6" s="14" t="inlineStr">
        <is>
          <t>C01-003</t>
        </is>
      </c>
      <c r="B6" s="25" t="inlineStr">
        <is>
          <t>C01</t>
        </is>
      </c>
      <c r="C6" s="6" t="inlineStr">
        <is>
          <t>Şifre sıfırlama maili</t>
        </is>
      </c>
      <c r="D6" s="6" t="inlineStr">
        <is>
          <t>—</t>
        </is>
      </c>
      <c r="E6" s="6" t="inlineStr">
        <is>
          <t>1. Forgot password</t>
        </is>
      </c>
      <c r="F6" s="6" t="inlineStr">
        <is>
          <t>Token + link (1 saat).</t>
        </is>
      </c>
      <c r="G6" s="6" t="inlineStr"/>
      <c r="H6" s="14" t="inlineStr">
        <is>
          <t>Beklemede</t>
        </is>
      </c>
      <c r="I6" s="25" t="inlineStr"/>
      <c r="J6" s="25" t="inlineStr"/>
      <c r="K6" s="25" t="inlineStr"/>
      <c r="L6" s="14" t="inlineStr">
        <is>
          <t>Orta</t>
        </is>
      </c>
      <c r="M6" s="6" t="inlineStr"/>
    </row>
    <row r="7" ht="40" customHeight="1">
      <c r="A7" s="16" t="inlineStr">
        <is>
          <t>C01-004</t>
        </is>
      </c>
      <c r="B7" s="26" t="inlineStr">
        <is>
          <t>C01</t>
        </is>
      </c>
      <c r="C7" s="18" t="inlineStr">
        <is>
          <t>Misafir checkout OTP maili</t>
        </is>
      </c>
      <c r="D7" s="18" t="inlineStr">
        <is>
          <t>—</t>
        </is>
      </c>
      <c r="E7" s="18" t="inlineStr">
        <is>
          <t>1. Guest checkout</t>
        </is>
      </c>
      <c r="F7" s="18" t="inlineStr">
        <is>
          <t>6 haneli kod + TTL bilgisi.</t>
        </is>
      </c>
      <c r="G7" s="18" t="inlineStr"/>
      <c r="H7" s="16" t="inlineStr">
        <is>
          <t>Beklemede</t>
        </is>
      </c>
      <c r="I7" s="26" t="inlineStr"/>
      <c r="J7" s="26" t="inlineStr"/>
      <c r="K7" s="26" t="inlineStr"/>
      <c r="L7" s="16" t="inlineStr">
        <is>
          <t>Orta</t>
        </is>
      </c>
      <c r="M7" s="18" t="inlineStr"/>
    </row>
    <row r="8" ht="40" customHeight="1">
      <c r="A8" s="14" t="inlineStr">
        <is>
          <t>C01-005</t>
        </is>
      </c>
      <c r="B8" s="25" t="inlineStr">
        <is>
          <t>C01</t>
        </is>
      </c>
      <c r="C8" s="6" t="inlineStr">
        <is>
          <t>Sipariş oluştu (alıcı)</t>
        </is>
      </c>
      <c r="D8" s="6" t="inlineStr">
        <is>
          <t>—</t>
        </is>
      </c>
      <c r="E8" s="6" t="inlineStr">
        <is>
          <t>1. —</t>
        </is>
      </c>
      <c r="F8" s="6" t="inlineStr">
        <is>
          <t>Sipariş özeti.</t>
        </is>
      </c>
      <c r="G8" s="6" t="inlineStr"/>
      <c r="H8" s="14" t="inlineStr">
        <is>
          <t>Beklemede</t>
        </is>
      </c>
      <c r="I8" s="25" t="inlineStr"/>
      <c r="J8" s="25" t="inlineStr"/>
      <c r="K8" s="25" t="inlineStr"/>
      <c r="L8" s="14" t="inlineStr">
        <is>
          <t>Orta</t>
        </is>
      </c>
      <c r="M8" s="6" t="inlineStr"/>
    </row>
    <row r="9" ht="40" customHeight="1">
      <c r="A9" s="16" t="inlineStr">
        <is>
          <t>C01-006</t>
        </is>
      </c>
      <c r="B9" s="26" t="inlineStr">
        <is>
          <t>C01</t>
        </is>
      </c>
      <c r="C9" s="18" t="inlineStr">
        <is>
          <t>Yeni sipariş (satıcı)</t>
        </is>
      </c>
      <c r="D9" s="18" t="inlineStr">
        <is>
          <t>—</t>
        </is>
      </c>
      <c r="E9" s="18" t="inlineStr">
        <is>
          <t>1. —</t>
        </is>
      </c>
      <c r="F9" s="18" t="inlineStr">
        <is>
          <t>Sipariş bilgisi + kargo deadline.</t>
        </is>
      </c>
      <c r="G9" s="18" t="inlineStr"/>
      <c r="H9" s="16" t="inlineStr">
        <is>
          <t>Beklemede</t>
        </is>
      </c>
      <c r="I9" s="26" t="inlineStr"/>
      <c r="J9" s="26" t="inlineStr"/>
      <c r="K9" s="26" t="inlineStr"/>
      <c r="L9" s="16" t="inlineStr">
        <is>
          <t>Orta</t>
        </is>
      </c>
      <c r="M9" s="18" t="inlineStr"/>
    </row>
    <row r="10" ht="40" customHeight="1">
      <c r="A10" s="14" t="inlineStr">
        <is>
          <t>C01-007</t>
        </is>
      </c>
      <c r="B10" s="25" t="inlineStr">
        <is>
          <t>C01</t>
        </is>
      </c>
      <c r="C10" s="6" t="inlineStr">
        <is>
          <t>Ödeme onaylandı (alıcı)</t>
        </is>
      </c>
      <c r="D10" s="6" t="inlineStr">
        <is>
          <t>—</t>
        </is>
      </c>
      <c r="E10" s="6" t="inlineStr">
        <is>
          <t>1. —</t>
        </is>
      </c>
      <c r="F10" s="6" t="inlineStr">
        <is>
          <t>Mail + tahmini teslim tarihi.</t>
        </is>
      </c>
      <c r="G10" s="6" t="inlineStr"/>
      <c r="H10" s="14" t="inlineStr">
        <is>
          <t>Beklemede</t>
        </is>
      </c>
      <c r="I10" s="25" t="inlineStr"/>
      <c r="J10" s="25" t="inlineStr"/>
      <c r="K10" s="25" t="inlineStr"/>
      <c r="L10" s="14" t="inlineStr">
        <is>
          <t>Orta</t>
        </is>
      </c>
      <c r="M10" s="6" t="inlineStr"/>
    </row>
    <row r="11" ht="40" customHeight="1">
      <c r="A11" s="16" t="inlineStr">
        <is>
          <t>C01-008</t>
        </is>
      </c>
      <c r="B11" s="26" t="inlineStr">
        <is>
          <t>C01</t>
        </is>
      </c>
      <c r="C11" s="18" t="inlineStr">
        <is>
          <t>Kargolandı (alıcı)</t>
        </is>
      </c>
      <c r="D11" s="18" t="inlineStr">
        <is>
          <t>—</t>
        </is>
      </c>
      <c r="E11" s="18" t="inlineStr">
        <is>
          <t>1. —</t>
        </is>
      </c>
      <c r="F11" s="18" t="inlineStr">
        <is>
          <t>Tracking no + link.</t>
        </is>
      </c>
      <c r="G11" s="18" t="inlineStr"/>
      <c r="H11" s="16" t="inlineStr">
        <is>
          <t>Beklemede</t>
        </is>
      </c>
      <c r="I11" s="26" t="inlineStr"/>
      <c r="J11" s="26" t="inlineStr"/>
      <c r="K11" s="26" t="inlineStr"/>
      <c r="L11" s="16" t="inlineStr">
        <is>
          <t>Orta</t>
        </is>
      </c>
      <c r="M11" s="18" t="inlineStr"/>
    </row>
    <row r="12" ht="40" customHeight="1">
      <c r="A12" s="14" t="inlineStr">
        <is>
          <t>C01-009</t>
        </is>
      </c>
      <c r="B12" s="25" t="inlineStr">
        <is>
          <t>C01</t>
        </is>
      </c>
      <c r="C12" s="6" t="inlineStr">
        <is>
          <t>Teslim edildi (alıcı)</t>
        </is>
      </c>
      <c r="D12" s="6" t="inlineStr">
        <is>
          <t>—</t>
        </is>
      </c>
      <c r="E12" s="6" t="inlineStr">
        <is>
          <t>1. —</t>
        </is>
      </c>
      <c r="F12" s="6" t="inlineStr">
        <is>
          <t>Yorum CTA.</t>
        </is>
      </c>
      <c r="G12" s="6" t="inlineStr"/>
      <c r="H12" s="14" t="inlineStr">
        <is>
          <t>Beklemede</t>
        </is>
      </c>
      <c r="I12" s="25" t="inlineStr"/>
      <c r="J12" s="25" t="inlineStr"/>
      <c r="K12" s="25" t="inlineStr"/>
      <c r="L12" s="14" t="inlineStr">
        <is>
          <t>Orta</t>
        </is>
      </c>
      <c r="M12" s="6" t="inlineStr"/>
    </row>
    <row r="13" ht="40" customHeight="1">
      <c r="A13" s="16" t="inlineStr">
        <is>
          <t>C01-010</t>
        </is>
      </c>
      <c r="B13" s="26" t="inlineStr">
        <is>
          <t>C01</t>
        </is>
      </c>
      <c r="C13" s="18" t="inlineStr">
        <is>
          <t>Fatura (alıcı + satıcı)</t>
        </is>
      </c>
      <c r="D13" s="18" t="inlineStr">
        <is>
          <t>—</t>
        </is>
      </c>
      <c r="E13" s="18" t="inlineStr">
        <is>
          <t>1. —</t>
        </is>
      </c>
      <c r="F13" s="18" t="inlineStr">
        <is>
          <t>PDF link, KDV detay.</t>
        </is>
      </c>
      <c r="G13" s="18" t="inlineStr"/>
      <c r="H13" s="16" t="inlineStr">
        <is>
          <t>Beklemede</t>
        </is>
      </c>
      <c r="I13" s="26" t="inlineStr"/>
      <c r="J13" s="26" t="inlineStr"/>
      <c r="K13" s="26" t="inlineStr"/>
      <c r="L13" s="16" t="inlineStr">
        <is>
          <t>Orta</t>
        </is>
      </c>
      <c r="M13" s="18" t="inlineStr"/>
    </row>
    <row r="14" ht="40" customHeight="1">
      <c r="A14" s="14" t="inlineStr">
        <is>
          <t>C01-011</t>
        </is>
      </c>
      <c r="B14" s="25" t="inlineStr">
        <is>
          <t>C01</t>
        </is>
      </c>
      <c r="C14" s="6" t="inlineStr">
        <is>
          <t>Payout (satıcı)</t>
        </is>
      </c>
      <c r="D14" s="6" t="inlineStr">
        <is>
          <t>—</t>
        </is>
      </c>
      <c r="E14" s="6" t="inlineStr">
        <is>
          <t>1. —</t>
        </is>
      </c>
      <c r="F14" s="6" t="inlineStr">
        <is>
          <t>Tutar, banka.</t>
        </is>
      </c>
      <c r="G14" s="6" t="inlineStr"/>
      <c r="H14" s="14" t="inlineStr">
        <is>
          <t>Beklemede</t>
        </is>
      </c>
      <c r="I14" s="25" t="inlineStr"/>
      <c r="J14" s="25" t="inlineStr"/>
      <c r="K14" s="25" t="inlineStr"/>
      <c r="L14" s="14" t="inlineStr">
        <is>
          <t>Orta</t>
        </is>
      </c>
      <c r="M14" s="6" t="inlineStr"/>
    </row>
    <row r="15" ht="40" customHeight="1">
      <c r="A15" s="16" t="inlineStr">
        <is>
          <t>C01-012</t>
        </is>
      </c>
      <c r="B15" s="26" t="inlineStr">
        <is>
          <t>C01</t>
        </is>
      </c>
      <c r="C15" s="18" t="inlineStr">
        <is>
          <t>İade talebi (satıcı)</t>
        </is>
      </c>
      <c r="D15" s="18" t="inlineStr">
        <is>
          <t>—</t>
        </is>
      </c>
      <c r="E15" s="18" t="inlineStr">
        <is>
          <t>1. —</t>
        </is>
      </c>
      <c r="F15" s="18" t="inlineStr">
        <is>
          <t>48 saat yanıt deadline.</t>
        </is>
      </c>
      <c r="G15" s="18" t="inlineStr"/>
      <c r="H15" s="16" t="inlineStr">
        <is>
          <t>Beklemede</t>
        </is>
      </c>
      <c r="I15" s="26" t="inlineStr"/>
      <c r="J15" s="26" t="inlineStr"/>
      <c r="K15" s="26" t="inlineStr"/>
      <c r="L15" s="16" t="inlineStr">
        <is>
          <t>Orta</t>
        </is>
      </c>
      <c r="M15" s="18" t="inlineStr"/>
    </row>
    <row r="16" ht="40" customHeight="1">
      <c r="A16" s="14" t="inlineStr">
        <is>
          <t>C01-013</t>
        </is>
      </c>
      <c r="B16" s="25" t="inlineStr">
        <is>
          <t>C01</t>
        </is>
      </c>
      <c r="C16" s="6" t="inlineStr">
        <is>
          <t>İade onaylandı (alıcı)</t>
        </is>
      </c>
      <c r="D16" s="6" t="inlineStr">
        <is>
          <t>—</t>
        </is>
      </c>
      <c r="E16" s="6" t="inlineStr">
        <is>
          <t>1. —</t>
        </is>
      </c>
      <c r="F16" s="6" t="inlineStr">
        <is>
          <t>Kargo etiketi.</t>
        </is>
      </c>
      <c r="G16" s="6" t="inlineStr"/>
      <c r="H16" s="14" t="inlineStr">
        <is>
          <t>Beklemede</t>
        </is>
      </c>
      <c r="I16" s="25" t="inlineStr"/>
      <c r="J16" s="25" t="inlineStr"/>
      <c r="K16" s="25" t="inlineStr"/>
      <c r="L16" s="14" t="inlineStr">
        <is>
          <t>Orta</t>
        </is>
      </c>
      <c r="M16" s="6" t="inlineStr"/>
    </row>
    <row r="17" ht="40" customHeight="1">
      <c r="A17" s="16" t="inlineStr">
        <is>
          <t>C01-014</t>
        </is>
      </c>
      <c r="B17" s="26" t="inlineStr">
        <is>
          <t>C01</t>
        </is>
      </c>
      <c r="C17" s="18" t="inlineStr">
        <is>
          <t>Para iadesi tamam (alıcı)</t>
        </is>
      </c>
      <c r="D17" s="18" t="inlineStr">
        <is>
          <t>—</t>
        </is>
      </c>
      <c r="E17" s="18" t="inlineStr">
        <is>
          <t>1. —</t>
        </is>
      </c>
      <c r="F17" s="18" t="inlineStr">
        <is>
          <t>Tutar + tarih.</t>
        </is>
      </c>
      <c r="G17" s="18" t="inlineStr"/>
      <c r="H17" s="16" t="inlineStr">
        <is>
          <t>Beklemede</t>
        </is>
      </c>
      <c r="I17" s="26" t="inlineStr"/>
      <c r="J17" s="26" t="inlineStr"/>
      <c r="K17" s="26" t="inlineStr"/>
      <c r="L17" s="16" t="inlineStr">
        <is>
          <t>Orta</t>
        </is>
      </c>
      <c r="M17" s="18" t="inlineStr"/>
    </row>
    <row r="18" ht="40" customHeight="1">
      <c r="A18" s="14" t="inlineStr">
        <is>
          <t>C01-015</t>
        </is>
      </c>
      <c r="B18" s="25" t="inlineStr">
        <is>
          <t>C01</t>
        </is>
      </c>
      <c r="C18" s="6" t="inlineStr">
        <is>
          <t>Yeni teklif (satıcı)</t>
        </is>
      </c>
      <c r="D18" s="6" t="inlineStr">
        <is>
          <t>—</t>
        </is>
      </c>
      <c r="E18" s="6" t="inlineStr">
        <is>
          <t>1. —</t>
        </is>
      </c>
      <c r="F18" s="6" t="inlineStr">
        <is>
          <t>Teklif içeriği.</t>
        </is>
      </c>
      <c r="G18" s="6" t="inlineStr"/>
      <c r="H18" s="14" t="inlineStr">
        <is>
          <t>Beklemede</t>
        </is>
      </c>
      <c r="I18" s="25" t="inlineStr"/>
      <c r="J18" s="25" t="inlineStr"/>
      <c r="K18" s="25" t="inlineStr"/>
      <c r="L18" s="14" t="inlineStr">
        <is>
          <t>Orta</t>
        </is>
      </c>
      <c r="M18" s="6" t="inlineStr"/>
    </row>
    <row r="19" ht="40" customHeight="1">
      <c r="A19" s="16" t="inlineStr">
        <is>
          <t>C01-016</t>
        </is>
      </c>
      <c r="B19" s="26" t="inlineStr">
        <is>
          <t>C01</t>
        </is>
      </c>
      <c r="C19" s="18" t="inlineStr">
        <is>
          <t>Teklif kabul (alıcı)</t>
        </is>
      </c>
      <c r="D19" s="18" t="inlineStr">
        <is>
          <t>—</t>
        </is>
      </c>
      <c r="E19" s="18" t="inlineStr">
        <is>
          <t>1. —</t>
        </is>
      </c>
      <c r="F19" s="18" t="inlineStr">
        <is>
          <t>Ödeme deadline.</t>
        </is>
      </c>
      <c r="G19" s="18" t="inlineStr"/>
      <c r="H19" s="16" t="inlineStr">
        <is>
          <t>Beklemede</t>
        </is>
      </c>
      <c r="I19" s="26" t="inlineStr"/>
      <c r="J19" s="26" t="inlineStr"/>
      <c r="K19" s="26" t="inlineStr"/>
      <c r="L19" s="16" t="inlineStr">
        <is>
          <t>Orta</t>
        </is>
      </c>
      <c r="M19" s="18" t="inlineStr"/>
    </row>
    <row r="20" ht="40" customHeight="1">
      <c r="A20" s="14" t="inlineStr">
        <is>
          <t>C01-017</t>
        </is>
      </c>
      <c r="B20" s="25" t="inlineStr">
        <is>
          <t>C01</t>
        </is>
      </c>
      <c r="C20" s="6" t="inlineStr">
        <is>
          <t>Takas teklifi (alıcı)</t>
        </is>
      </c>
      <c r="D20" s="6" t="inlineStr">
        <is>
          <t>—</t>
        </is>
      </c>
      <c r="E20" s="6" t="inlineStr">
        <is>
          <t>1. —</t>
        </is>
      </c>
      <c r="F20" s="6" t="inlineStr">
        <is>
          <t>Detay + onay/red butonları.</t>
        </is>
      </c>
      <c r="G20" s="6" t="inlineStr"/>
      <c r="H20" s="14" t="inlineStr">
        <is>
          <t>Beklemede</t>
        </is>
      </c>
      <c r="I20" s="25" t="inlineStr"/>
      <c r="J20" s="25" t="inlineStr"/>
      <c r="K20" s="25" t="inlineStr"/>
      <c r="L20" s="14" t="inlineStr">
        <is>
          <t>Orta</t>
        </is>
      </c>
      <c r="M20" s="6" t="inlineStr"/>
    </row>
    <row r="21" ht="40" customHeight="1">
      <c r="A21" s="16" t="inlineStr">
        <is>
          <t>C01-018</t>
        </is>
      </c>
      <c r="B21" s="26" t="inlineStr">
        <is>
          <t>C01</t>
        </is>
      </c>
      <c r="C21" s="18" t="inlineStr">
        <is>
          <t>Takas tamamlandı</t>
        </is>
      </c>
      <c r="D21" s="18" t="inlineStr">
        <is>
          <t>—</t>
        </is>
      </c>
      <c r="E21" s="18" t="inlineStr">
        <is>
          <t>1. —</t>
        </is>
      </c>
      <c r="F21" s="18" t="inlineStr">
        <is>
          <t>Iki tarafa tamamlandı.</t>
        </is>
      </c>
      <c r="G21" s="18" t="inlineStr"/>
      <c r="H21" s="16" t="inlineStr">
        <is>
          <t>Beklemede</t>
        </is>
      </c>
      <c r="I21" s="26" t="inlineStr"/>
      <c r="J21" s="26" t="inlineStr"/>
      <c r="K21" s="26" t="inlineStr"/>
      <c r="L21" s="16" t="inlineStr">
        <is>
          <t>Orta</t>
        </is>
      </c>
      <c r="M21" s="18" t="inlineStr"/>
    </row>
    <row r="22" ht="40" customHeight="1">
      <c r="A22" s="14" t="inlineStr">
        <is>
          <t>C01-019</t>
        </is>
      </c>
      <c r="B22" s="25" t="inlineStr">
        <is>
          <t>C01</t>
        </is>
      </c>
      <c r="C22" s="6" t="inlineStr">
        <is>
          <t>Üyelik başladı</t>
        </is>
      </c>
      <c r="D22" s="6" t="inlineStr">
        <is>
          <t>—</t>
        </is>
      </c>
      <c r="E22" s="6" t="inlineStr">
        <is>
          <t>1. —</t>
        </is>
      </c>
      <c r="F22" s="6" t="inlineStr">
        <is>
          <t>Tier avantajları.</t>
        </is>
      </c>
      <c r="G22" s="6" t="inlineStr"/>
      <c r="H22" s="14" t="inlineStr">
        <is>
          <t>Beklemede</t>
        </is>
      </c>
      <c r="I22" s="25" t="inlineStr"/>
      <c r="J22" s="25" t="inlineStr"/>
      <c r="K22" s="25" t="inlineStr"/>
      <c r="L22" s="14" t="inlineStr">
        <is>
          <t>Orta</t>
        </is>
      </c>
      <c r="M22" s="6" t="inlineStr"/>
    </row>
    <row r="23" ht="40" customHeight="1">
      <c r="A23" s="16" t="inlineStr">
        <is>
          <t>C01-020</t>
        </is>
      </c>
      <c r="B23" s="26" t="inlineStr">
        <is>
          <t>C01</t>
        </is>
      </c>
      <c r="C23" s="18" t="inlineStr">
        <is>
          <t>Üyelik 7 gün kala</t>
        </is>
      </c>
      <c r="D23" s="18" t="inlineStr">
        <is>
          <t>—</t>
        </is>
      </c>
      <c r="E23" s="18" t="inlineStr">
        <is>
          <t>1. —</t>
        </is>
      </c>
      <c r="F23" s="18" t="inlineStr">
        <is>
          <t>Yenileme CTA.</t>
        </is>
      </c>
      <c r="G23" s="18" t="inlineStr"/>
      <c r="H23" s="16" t="inlineStr">
        <is>
          <t>Beklemede</t>
        </is>
      </c>
      <c r="I23" s="26" t="inlineStr"/>
      <c r="J23" s="26" t="inlineStr"/>
      <c r="K23" s="26" t="inlineStr"/>
      <c r="L23" s="16" t="inlineStr">
        <is>
          <t>Orta</t>
        </is>
      </c>
      <c r="M23" s="18" t="inlineStr"/>
    </row>
    <row r="24" ht="40" customHeight="1">
      <c r="A24" s="14" t="inlineStr">
        <is>
          <t>C01-021</t>
        </is>
      </c>
      <c r="B24" s="25" t="inlineStr">
        <is>
          <t>C01</t>
        </is>
      </c>
      <c r="C24" s="6" t="inlineStr">
        <is>
          <t>Üyelik 1 gün kala</t>
        </is>
      </c>
      <c r="D24" s="6" t="inlineStr">
        <is>
          <t>—</t>
        </is>
      </c>
      <c r="E24" s="6" t="inlineStr">
        <is>
          <t>1. —</t>
        </is>
      </c>
      <c r="F24" s="6" t="inlineStr">
        <is>
          <t>Acil yenileme.</t>
        </is>
      </c>
      <c r="G24" s="6" t="inlineStr"/>
      <c r="H24" s="14" t="inlineStr">
        <is>
          <t>Beklemede</t>
        </is>
      </c>
      <c r="I24" s="25" t="inlineStr"/>
      <c r="J24" s="25" t="inlineStr"/>
      <c r="K24" s="25" t="inlineStr"/>
      <c r="L24" s="14" t="inlineStr">
        <is>
          <t>Orta</t>
        </is>
      </c>
      <c r="M24" s="6" t="inlineStr"/>
    </row>
    <row r="25" ht="40" customHeight="1">
      <c r="A25" s="16" t="inlineStr">
        <is>
          <t>C01-022</t>
        </is>
      </c>
      <c r="B25" s="26" t="inlineStr">
        <is>
          <t>C01</t>
        </is>
      </c>
      <c r="C25" s="18" t="inlineStr">
        <is>
          <t>Ürün onaylandı (satıcı)</t>
        </is>
      </c>
      <c r="D25" s="18" t="inlineStr">
        <is>
          <t>—</t>
        </is>
      </c>
      <c r="E25" s="18" t="inlineStr">
        <is>
          <t>1. —</t>
        </is>
      </c>
      <c r="F25" s="18" t="inlineStr">
        <is>
          <t>Yayında bilgisi.</t>
        </is>
      </c>
      <c r="G25" s="18" t="inlineStr"/>
      <c r="H25" s="16" t="inlineStr">
        <is>
          <t>Beklemede</t>
        </is>
      </c>
      <c r="I25" s="26" t="inlineStr"/>
      <c r="J25" s="26" t="inlineStr"/>
      <c r="K25" s="26" t="inlineStr"/>
      <c r="L25" s="16" t="inlineStr">
        <is>
          <t>Orta</t>
        </is>
      </c>
      <c r="M25" s="18" t="inlineStr"/>
    </row>
    <row r="26" ht="40" customHeight="1">
      <c r="A26" s="14" t="inlineStr">
        <is>
          <t>C01-023</t>
        </is>
      </c>
      <c r="B26" s="25" t="inlineStr">
        <is>
          <t>C01</t>
        </is>
      </c>
      <c r="C26" s="6" t="inlineStr">
        <is>
          <t>Ürün reddedildi (satıcı)</t>
        </is>
      </c>
      <c r="D26" s="6" t="inlineStr">
        <is>
          <t>—</t>
        </is>
      </c>
      <c r="E26" s="6" t="inlineStr">
        <is>
          <t>1. —</t>
        </is>
      </c>
      <c r="F26" s="6" t="inlineStr">
        <is>
          <t>Sebep yazılı.</t>
        </is>
      </c>
      <c r="G26" s="6" t="inlineStr"/>
      <c r="H26" s="14" t="inlineStr">
        <is>
          <t>Beklemede</t>
        </is>
      </c>
      <c r="I26" s="25" t="inlineStr"/>
      <c r="J26" s="25" t="inlineStr"/>
      <c r="K26" s="25" t="inlineStr"/>
      <c r="L26" s="14" t="inlineStr">
        <is>
          <t>Orta</t>
        </is>
      </c>
      <c r="M26" s="6" t="inlineStr"/>
    </row>
    <row r="27" ht="40" customHeight="1">
      <c r="A27" s="16" t="inlineStr">
        <is>
          <t>C01-024</t>
        </is>
      </c>
      <c r="B27" s="26" t="inlineStr">
        <is>
          <t>C01</t>
        </is>
      </c>
      <c r="C27" s="18" t="inlineStr">
        <is>
          <t>Satıcı başvurusu onay</t>
        </is>
      </c>
      <c r="D27" s="18" t="inlineStr">
        <is>
          <t>—</t>
        </is>
      </c>
      <c r="E27" s="18" t="inlineStr">
        <is>
          <t>1. —</t>
        </is>
      </c>
      <c r="F27" s="18" t="inlineStr">
        <is>
          <t>Hesabınız aktif.</t>
        </is>
      </c>
      <c r="G27" s="18" t="inlineStr"/>
      <c r="H27" s="16" t="inlineStr">
        <is>
          <t>Beklemede</t>
        </is>
      </c>
      <c r="I27" s="26" t="inlineStr"/>
      <c r="J27" s="26" t="inlineStr"/>
      <c r="K27" s="26" t="inlineStr"/>
      <c r="L27" s="16" t="inlineStr">
        <is>
          <t>Orta</t>
        </is>
      </c>
      <c r="M27" s="18" t="inlineStr"/>
    </row>
    <row r="28" ht="40" customHeight="1">
      <c r="A28" s="14" t="inlineStr">
        <is>
          <t>C01-025</t>
        </is>
      </c>
      <c r="B28" s="25" t="inlineStr">
        <is>
          <t>C01</t>
        </is>
      </c>
      <c r="C28" s="6" t="inlineStr">
        <is>
          <t>Satıcı başvurusu red</t>
        </is>
      </c>
      <c r="D28" s="6" t="inlineStr">
        <is>
          <t>—</t>
        </is>
      </c>
      <c r="E28" s="6" t="inlineStr">
        <is>
          <t>1. —</t>
        </is>
      </c>
      <c r="F28" s="6" t="inlineStr">
        <is>
          <t>Sebep yazılı.</t>
        </is>
      </c>
      <c r="G28" s="6" t="inlineStr"/>
      <c r="H28" s="14" t="inlineStr">
        <is>
          <t>Beklemede</t>
        </is>
      </c>
      <c r="I28" s="25" t="inlineStr"/>
      <c r="J28" s="25" t="inlineStr"/>
      <c r="K28" s="25" t="inlineStr"/>
      <c r="L28" s="14" t="inlineStr">
        <is>
          <t>Orta</t>
        </is>
      </c>
      <c r="M28" s="6" t="inlineStr"/>
    </row>
    <row r="29" ht="40" customHeight="1">
      <c r="A29" s="16" t="inlineStr">
        <is>
          <t>C01-026</t>
        </is>
      </c>
      <c r="B29" s="26" t="inlineStr">
        <is>
          <t>C01</t>
        </is>
      </c>
      <c r="C29" s="18" t="inlineStr">
        <is>
          <t>Hesap banlandı</t>
        </is>
      </c>
      <c r="D29" s="18" t="inlineStr">
        <is>
          <t>—</t>
        </is>
      </c>
      <c r="E29" s="18" t="inlineStr">
        <is>
          <t>1. —</t>
        </is>
      </c>
      <c r="F29" s="18" t="inlineStr">
        <is>
          <t>Sebep yazılı.</t>
        </is>
      </c>
      <c r="G29" s="18" t="inlineStr"/>
      <c r="H29" s="16" t="inlineStr">
        <is>
          <t>Beklemede</t>
        </is>
      </c>
      <c r="I29" s="26" t="inlineStr"/>
      <c r="J29" s="26" t="inlineStr"/>
      <c r="K29" s="26" t="inlineStr"/>
      <c r="L29" s="16" t="inlineStr">
        <is>
          <t>Orta</t>
        </is>
      </c>
      <c r="M29" s="18" t="inlineStr"/>
    </row>
    <row r="30" ht="40" customHeight="1">
      <c r="A30" s="14" t="inlineStr">
        <is>
          <t>C01-027</t>
        </is>
      </c>
      <c r="B30" s="25" t="inlineStr">
        <is>
          <t>C01</t>
        </is>
      </c>
      <c r="C30" s="6" t="inlineStr">
        <is>
          <t>Wishlist fiyat düştü</t>
        </is>
      </c>
      <c r="D30" s="6" t="inlineStr">
        <is>
          <t>—</t>
        </is>
      </c>
      <c r="E30" s="6" t="inlineStr">
        <is>
          <t>1. —</t>
        </is>
      </c>
      <c r="F30" s="6" t="inlineStr">
        <is>
          <t>Yeni fiyat + link.</t>
        </is>
      </c>
      <c r="G30" s="6" t="inlineStr"/>
      <c r="H30" s="14" t="inlineStr">
        <is>
          <t>Beklemede</t>
        </is>
      </c>
      <c r="I30" s="25" t="inlineStr"/>
      <c r="J30" s="25" t="inlineStr"/>
      <c r="K30" s="25" t="inlineStr"/>
      <c r="L30" s="14" t="inlineStr">
        <is>
          <t>Orta</t>
        </is>
      </c>
      <c r="M30" s="6" t="inlineStr"/>
    </row>
    <row r="31" ht="40" customHeight="1">
      <c r="A31" s="16" t="inlineStr">
        <is>
          <t>C01-028</t>
        </is>
      </c>
      <c r="B31" s="26" t="inlineStr">
        <is>
          <t>C01</t>
        </is>
      </c>
      <c r="C31" s="18" t="inlineStr">
        <is>
          <t>Newsletter aboneliği onayı (double opt-in)</t>
        </is>
      </c>
      <c r="D31" s="18" t="inlineStr">
        <is>
          <t>—</t>
        </is>
      </c>
      <c r="E31" s="18" t="inlineStr">
        <is>
          <t>1. —</t>
        </is>
      </c>
      <c r="F31" s="18" t="inlineStr">
        <is>
          <t>Onay linki.</t>
        </is>
      </c>
      <c r="G31" s="18" t="inlineStr"/>
      <c r="H31" s="16" t="inlineStr">
        <is>
          <t>Beklemede</t>
        </is>
      </c>
      <c r="I31" s="26" t="inlineStr"/>
      <c r="J31" s="26" t="inlineStr"/>
      <c r="K31" s="26" t="inlineStr"/>
      <c r="L31" s="16" t="inlineStr">
        <is>
          <t>Orta</t>
        </is>
      </c>
      <c r="M31" s="18" t="inlineStr"/>
    </row>
    <row r="34">
      <c r="A34" s="27" t="inlineStr">
        <is>
          <t>Bu sayfadaki tüm senaryolar test edilmiş ve sonuçlar yukarıda işaretlenmiştir.</t>
        </is>
      </c>
    </row>
    <row r="35">
      <c r="A35" s="28" t="inlineStr">
        <is>
          <t>Test Eden (Tarodan)</t>
        </is>
      </c>
      <c r="D35" s="28" t="inlineStr">
        <is>
          <t>Tarih</t>
        </is>
      </c>
      <c r="G35" s="28" t="inlineStr">
        <is>
          <t>Onaylayan (Müşteri)</t>
        </is>
      </c>
      <c r="J35" s="28" t="inlineStr">
        <is>
          <t>Tarih</t>
        </is>
      </c>
    </row>
    <row r="36">
      <c r="A36" s="7" t="n"/>
      <c r="D36" s="7" t="n"/>
      <c r="G36" s="7" t="n"/>
      <c r="J36" s="7" t="n"/>
    </row>
  </sheetData>
  <mergeCells count="7">
    <mergeCell ref="A1:M1"/>
    <mergeCell ref="A34:M34"/>
    <mergeCell ref="A36:B36"/>
    <mergeCell ref="G36:H36"/>
    <mergeCell ref="D36:E36"/>
    <mergeCell ref="J36:K36"/>
    <mergeCell ref="A2:M2"/>
  </mergeCells>
  <conditionalFormatting sqref="H4:H3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31" showDropDown="0" showInputMessage="0" showErrorMessage="0" allowBlank="1" errorTitle="Geçersiz değer" error="Lütfen listedeki seçeneklerden birini seçin." type="list">
      <formula1>"Beklemede,Geçti,Kaldı,Bloke,Yapılamadı,N/A"</formula1>
    </dataValidation>
    <dataValidation sqref="L4:L31" showDropDown="0" showInputMessage="0" showErrorMessage="0" allowBlank="1" type="list">
      <formula1>"Kritik,Yüksek,Orta,Düşük"</formula1>
    </dataValidation>
    <dataValidation sqref="K4:K3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C02 — Push ve In-App Bildirim Doğrulamaları</t>
        </is>
      </c>
    </row>
    <row r="2" ht="28" customHeight="1">
      <c r="A2" s="24" t="inlineStr">
        <is>
          <t>Browser/native push, in-app bell, websocket.</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C02-001</t>
        </is>
      </c>
      <c r="B4" s="25" t="inlineStr">
        <is>
          <t>C02</t>
        </is>
      </c>
      <c r="C4" s="6" t="inlineStr">
        <is>
          <t>Tarayıcı push izni</t>
        </is>
      </c>
      <c r="D4" s="6" t="inlineStr">
        <is>
          <t>—</t>
        </is>
      </c>
      <c r="E4" s="6" t="inlineStr">
        <is>
          <t>1. İzin diyaloğunu kabul et</t>
        </is>
      </c>
      <c r="F4" s="6" t="inlineStr">
        <is>
          <t>Push token kaydedilir.</t>
        </is>
      </c>
      <c r="G4" s="6" t="inlineStr"/>
      <c r="H4" s="14" t="inlineStr">
        <is>
          <t>Beklemede</t>
        </is>
      </c>
      <c r="I4" s="25" t="inlineStr"/>
      <c r="J4" s="25" t="inlineStr"/>
      <c r="K4" s="25" t="inlineStr"/>
      <c r="L4" s="14" t="inlineStr">
        <is>
          <t>Orta</t>
        </is>
      </c>
      <c r="M4" s="6" t="inlineStr"/>
    </row>
    <row r="5" ht="40" customHeight="1">
      <c r="A5" s="16" t="inlineStr">
        <is>
          <t>C02-002</t>
        </is>
      </c>
      <c r="B5" s="26" t="inlineStr">
        <is>
          <t>C02</t>
        </is>
      </c>
      <c r="C5" s="18" t="inlineStr">
        <is>
          <t>Push bildirimi geldi</t>
        </is>
      </c>
      <c r="D5" s="18" t="inlineStr">
        <is>
          <t>Sipariş geldi.</t>
        </is>
      </c>
      <c r="E5" s="18" t="inlineStr">
        <is>
          <t>1. —</t>
        </is>
      </c>
      <c r="F5" s="18" t="inlineStr">
        <is>
          <t>Push gösterilir; tıklayınca ilgili sayfa.</t>
        </is>
      </c>
      <c r="G5" s="18" t="inlineStr"/>
      <c r="H5" s="16" t="inlineStr">
        <is>
          <t>Beklemede</t>
        </is>
      </c>
      <c r="I5" s="26" t="inlineStr"/>
      <c r="J5" s="26" t="inlineStr"/>
      <c r="K5" s="26" t="inlineStr"/>
      <c r="L5" s="16" t="inlineStr">
        <is>
          <t>Orta</t>
        </is>
      </c>
      <c r="M5" s="18" t="inlineStr"/>
    </row>
    <row r="6" ht="40" customHeight="1">
      <c r="A6" s="14" t="inlineStr">
        <is>
          <t>C02-003</t>
        </is>
      </c>
      <c r="B6" s="25" t="inlineStr">
        <is>
          <t>C02</t>
        </is>
      </c>
      <c r="C6" s="6" t="inlineStr">
        <is>
          <t>İzin reddedildiyse fallback</t>
        </is>
      </c>
      <c r="D6" s="6" t="inlineStr">
        <is>
          <t>—</t>
        </is>
      </c>
      <c r="E6" s="6" t="inlineStr">
        <is>
          <t>1. Sadece in-app + mail kullanılır</t>
        </is>
      </c>
      <c r="F6" s="6" t="inlineStr">
        <is>
          <t>Push gönderilmez ama diğerleri çalışır.</t>
        </is>
      </c>
      <c r="G6" s="6" t="inlineStr"/>
      <c r="H6" s="14" t="inlineStr">
        <is>
          <t>Beklemede</t>
        </is>
      </c>
      <c r="I6" s="25" t="inlineStr"/>
      <c r="J6" s="25" t="inlineStr"/>
      <c r="K6" s="25" t="inlineStr"/>
      <c r="L6" s="14" t="inlineStr">
        <is>
          <t>Orta</t>
        </is>
      </c>
      <c r="M6" s="6" t="inlineStr"/>
    </row>
    <row r="7" ht="40" customHeight="1">
      <c r="A7" s="16" t="inlineStr">
        <is>
          <t>C02-004</t>
        </is>
      </c>
      <c r="B7" s="26" t="inlineStr">
        <is>
          <t>C02</t>
        </is>
      </c>
      <c r="C7" s="18" t="inlineStr">
        <is>
          <t>Bell ikonu okunmamış sayacı</t>
        </is>
      </c>
      <c r="D7" s="18" t="inlineStr">
        <is>
          <t>—</t>
        </is>
      </c>
      <c r="E7" s="18" t="inlineStr">
        <is>
          <t>1. Yeni bildirim sonrası bel ikonu</t>
        </is>
      </c>
      <c r="F7" s="18" t="inlineStr">
        <is>
          <t>Sayaç doğru artar.</t>
        </is>
      </c>
      <c r="G7" s="18" t="inlineStr"/>
      <c r="H7" s="16" t="inlineStr">
        <is>
          <t>Beklemede</t>
        </is>
      </c>
      <c r="I7" s="26" t="inlineStr"/>
      <c r="J7" s="26" t="inlineStr"/>
      <c r="K7" s="26" t="inlineStr"/>
      <c r="L7" s="16" t="inlineStr">
        <is>
          <t>Orta</t>
        </is>
      </c>
      <c r="M7" s="18" t="inlineStr"/>
    </row>
    <row r="8" ht="40" customHeight="1">
      <c r="A8" s="14" t="inlineStr">
        <is>
          <t>C02-005</t>
        </is>
      </c>
      <c r="B8" s="25" t="inlineStr">
        <is>
          <t>C02</t>
        </is>
      </c>
      <c r="C8" s="6" t="inlineStr">
        <is>
          <t>Realtime mesaj bildirimi (websocket)</t>
        </is>
      </c>
      <c r="D8" s="6" t="inlineStr">
        <is>
          <t>İki sekme açık.</t>
        </is>
      </c>
      <c r="E8" s="6" t="inlineStr">
        <is>
          <t>1. Bir sekmeden mesaj at</t>
        </is>
      </c>
      <c r="F8" s="6" t="inlineStr">
        <is>
          <t>Diğer sekme anında gösterir.</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C03 — Cron / Scheduled Job Doğrulamaları</t>
        </is>
      </c>
    </row>
    <row r="2" ht="28" customHeight="1">
      <c r="A2" s="24" t="inlineStr">
        <is>
          <t>Otomatik tetiklenen tüm işler.</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C03-001</t>
        </is>
      </c>
      <c r="B4" s="25" t="inlineStr">
        <is>
          <t>C03</t>
        </is>
      </c>
      <c r="C4" s="6" t="inlineStr">
        <is>
          <t>Payment scheduler — expired reservations</t>
        </is>
      </c>
      <c r="D4" s="6" t="inlineStr">
        <is>
          <t>15 dk geçmiş pending payment.</t>
        </is>
      </c>
      <c r="E4" s="6" t="inlineStr">
        <is>
          <t>1. Cron run / bekle</t>
        </is>
      </c>
      <c r="F4" s="6" t="inlineStr">
        <is>
          <t>Sipariş iptal; stok geri.</t>
        </is>
      </c>
      <c r="G4" s="6" t="inlineStr"/>
      <c r="H4" s="14" t="inlineStr">
        <is>
          <t>Beklemede</t>
        </is>
      </c>
      <c r="I4" s="25" t="inlineStr"/>
      <c r="J4" s="25" t="inlineStr"/>
      <c r="K4" s="25" t="inlineStr"/>
      <c r="L4" s="14" t="inlineStr">
        <is>
          <t>Kritik</t>
        </is>
      </c>
      <c r="M4" s="6" t="inlineStr"/>
    </row>
    <row r="5" ht="40" customHeight="1">
      <c r="A5" s="16" t="inlineStr">
        <is>
          <t>C03-002</t>
        </is>
      </c>
      <c r="B5" s="26" t="inlineStr">
        <is>
          <t>C03</t>
        </is>
      </c>
      <c r="C5" s="18" t="inlineStr">
        <is>
          <t>Payment hold release (7 gün)</t>
        </is>
      </c>
      <c r="D5" s="18" t="inlineStr">
        <is>
          <t>Delivered + 7 gün.</t>
        </is>
      </c>
      <c r="E5" s="18" t="inlineStr">
        <is>
          <t>1. Cron run</t>
        </is>
      </c>
      <c r="F5" s="18" t="inlineStr">
        <is>
          <t>Hold released → payout queue.</t>
        </is>
      </c>
      <c r="G5" s="18" t="inlineStr"/>
      <c r="H5" s="16" t="inlineStr">
        <is>
          <t>Beklemede</t>
        </is>
      </c>
      <c r="I5" s="26" t="inlineStr"/>
      <c r="J5" s="26" t="inlineStr"/>
      <c r="K5" s="26" t="inlineStr"/>
      <c r="L5" s="16" t="inlineStr">
        <is>
          <t>Orta</t>
        </is>
      </c>
      <c r="M5" s="18" t="inlineStr"/>
    </row>
    <row r="6" ht="40" customHeight="1">
      <c r="A6" s="14" t="inlineStr">
        <is>
          <t>C03-003</t>
        </is>
      </c>
      <c r="B6" s="25" t="inlineStr">
        <is>
          <t>C03</t>
        </is>
      </c>
      <c r="C6" s="6" t="inlineStr">
        <is>
          <t>Payout scheduler</t>
        </is>
      </c>
      <c r="D6" s="6" t="inlineStr">
        <is>
          <t>Pending payout.</t>
        </is>
      </c>
      <c r="E6" s="6" t="inlineStr">
        <is>
          <t>1. Cron run</t>
        </is>
      </c>
      <c r="F6" s="6" t="inlineStr">
        <is>
          <t>Bank transfer; mail.</t>
        </is>
      </c>
      <c r="G6" s="6" t="inlineStr"/>
      <c r="H6" s="14" t="inlineStr">
        <is>
          <t>Beklemede</t>
        </is>
      </c>
      <c r="I6" s="25" t="inlineStr"/>
      <c r="J6" s="25" t="inlineStr"/>
      <c r="K6" s="25" t="inlineStr"/>
      <c r="L6" s="14" t="inlineStr">
        <is>
          <t>Orta</t>
        </is>
      </c>
      <c r="M6" s="6" t="inlineStr"/>
    </row>
    <row r="7" ht="40" customHeight="1">
      <c r="A7" s="16" t="inlineStr">
        <is>
          <t>C03-004</t>
        </is>
      </c>
      <c r="B7" s="26" t="inlineStr">
        <is>
          <t>C03</t>
        </is>
      </c>
      <c r="C7" s="18" t="inlineStr">
        <is>
          <t>Failed payout retry (24h)</t>
        </is>
      </c>
      <c r="D7" s="18" t="inlineStr">
        <is>
          <t>Failed payout.</t>
        </is>
      </c>
      <c r="E7" s="18" t="inlineStr">
        <is>
          <t>1. Cron run</t>
        </is>
      </c>
      <c r="F7" s="18" t="inlineStr">
        <is>
          <t>Tekrar dener; max 3 retry.</t>
        </is>
      </c>
      <c r="G7" s="18" t="inlineStr"/>
      <c r="H7" s="16" t="inlineStr">
        <is>
          <t>Beklemede</t>
        </is>
      </c>
      <c r="I7" s="26" t="inlineStr"/>
      <c r="J7" s="26" t="inlineStr"/>
      <c r="K7" s="26" t="inlineStr"/>
      <c r="L7" s="16" t="inlineStr">
        <is>
          <t>Orta</t>
        </is>
      </c>
      <c r="M7" s="18" t="inlineStr"/>
    </row>
    <row r="8" ht="40" customHeight="1">
      <c r="A8" s="14" t="inlineStr">
        <is>
          <t>C03-005</t>
        </is>
      </c>
      <c r="B8" s="25" t="inlineStr">
        <is>
          <t>C03</t>
        </is>
      </c>
      <c r="C8" s="6" t="inlineStr">
        <is>
          <t>Offer expire (24h)</t>
        </is>
      </c>
      <c r="D8" s="6" t="inlineStr">
        <is>
          <t>Pending offer 24h+ eski.</t>
        </is>
      </c>
      <c r="E8" s="6" t="inlineStr">
        <is>
          <t>1. Cron run</t>
        </is>
      </c>
      <c r="F8" s="6" t="inlineStr">
        <is>
          <t>Status 'expired'; bildirim.</t>
        </is>
      </c>
      <c r="G8" s="6" t="inlineStr"/>
      <c r="H8" s="14" t="inlineStr">
        <is>
          <t>Beklemede</t>
        </is>
      </c>
      <c r="I8" s="25" t="inlineStr"/>
      <c r="J8" s="25" t="inlineStr"/>
      <c r="K8" s="25" t="inlineStr"/>
      <c r="L8" s="14" t="inlineStr">
        <is>
          <t>Orta</t>
        </is>
      </c>
      <c r="M8" s="6" t="inlineStr"/>
    </row>
    <row r="9" ht="40" customHeight="1">
      <c r="A9" s="16" t="inlineStr">
        <is>
          <t>C03-006</t>
        </is>
      </c>
      <c r="B9" s="26" t="inlineStr">
        <is>
          <t>C03</t>
        </is>
      </c>
      <c r="C9" s="18" t="inlineStr">
        <is>
          <t>Trade auto-cancel</t>
        </is>
      </c>
      <c r="D9" s="18" t="inlineStr">
        <is>
          <t>Deadline aşımı.</t>
        </is>
      </c>
      <c r="E9" s="18" t="inlineStr">
        <is>
          <t>1. Cron run</t>
        </is>
      </c>
      <c r="F9" s="18" t="inlineStr">
        <is>
          <t>Trade cancelled; refund.</t>
        </is>
      </c>
      <c r="G9" s="18" t="inlineStr"/>
      <c r="H9" s="16" t="inlineStr">
        <is>
          <t>Beklemede</t>
        </is>
      </c>
      <c r="I9" s="26" t="inlineStr"/>
      <c r="J9" s="26" t="inlineStr"/>
      <c r="K9" s="26" t="inlineStr"/>
      <c r="L9" s="16" t="inlineStr">
        <is>
          <t>Orta</t>
        </is>
      </c>
      <c r="M9" s="18" t="inlineStr"/>
    </row>
    <row r="10" ht="40" customHeight="1">
      <c r="A10" s="14" t="inlineStr">
        <is>
          <t>C03-007</t>
        </is>
      </c>
      <c r="B10" s="25" t="inlineStr">
        <is>
          <t>C03</t>
        </is>
      </c>
      <c r="C10" s="6" t="inlineStr">
        <is>
          <t>Trade auto-confirm receipt</t>
        </is>
      </c>
      <c r="D10" s="6" t="inlineStr">
        <is>
          <t>Teslim üzerinden süre dolmuş.</t>
        </is>
      </c>
      <c r="E10" s="6" t="inlineStr">
        <is>
          <t>1. Cron run</t>
        </is>
      </c>
      <c r="F10" s="6" t="inlineStr">
        <is>
          <t>Otomatik onay.</t>
        </is>
      </c>
      <c r="G10" s="6" t="inlineStr"/>
      <c r="H10" s="14" t="inlineStr">
        <is>
          <t>Beklemede</t>
        </is>
      </c>
      <c r="I10" s="25" t="inlineStr"/>
      <c r="J10" s="25" t="inlineStr"/>
      <c r="K10" s="25" t="inlineStr"/>
      <c r="L10" s="14" t="inlineStr">
        <is>
          <t>Orta</t>
        </is>
      </c>
      <c r="M10" s="6" t="inlineStr"/>
    </row>
    <row r="11" ht="40" customHeight="1">
      <c r="A11" s="16" t="inlineStr">
        <is>
          <t>C03-008</t>
        </is>
      </c>
      <c r="B11" s="26" t="inlineStr">
        <is>
          <t>C03</t>
        </is>
      </c>
      <c r="C11" s="18" t="inlineStr">
        <is>
          <t>Refund scheduler — return shipments</t>
        </is>
      </c>
      <c r="D11" s="18" t="inlineStr">
        <is>
          <t>İade kargosu açık.</t>
        </is>
      </c>
      <c r="E11" s="18" t="inlineStr">
        <is>
          <t>1. Cron run</t>
        </is>
      </c>
      <c r="F11" s="18" t="inlineStr">
        <is>
          <t>Durum güncellenir.</t>
        </is>
      </c>
      <c r="G11" s="18" t="inlineStr"/>
      <c r="H11" s="16" t="inlineStr">
        <is>
          <t>Beklemede</t>
        </is>
      </c>
      <c r="I11" s="26" t="inlineStr"/>
      <c r="J11" s="26" t="inlineStr"/>
      <c r="K11" s="26" t="inlineStr"/>
      <c r="L11" s="16" t="inlineStr">
        <is>
          <t>Orta</t>
        </is>
      </c>
      <c r="M11" s="18" t="inlineStr"/>
    </row>
    <row r="12" ht="40" customHeight="1">
      <c r="A12" s="14" t="inlineStr">
        <is>
          <t>C03-009</t>
        </is>
      </c>
      <c r="B12" s="25" t="inlineStr">
        <is>
          <t>C03</t>
        </is>
      </c>
      <c r="C12" s="6" t="inlineStr">
        <is>
          <t>Membership expire reminder (7 gün)</t>
        </is>
      </c>
      <c r="D12" s="6" t="inlineStr">
        <is>
          <t>—</t>
        </is>
      </c>
      <c r="E12" s="6" t="inlineStr">
        <is>
          <t>1. Cron run</t>
        </is>
      </c>
      <c r="F12" s="6" t="inlineStr">
        <is>
          <t>Mail.</t>
        </is>
      </c>
      <c r="G12" s="6" t="inlineStr"/>
      <c r="H12" s="14" t="inlineStr">
        <is>
          <t>Beklemede</t>
        </is>
      </c>
      <c r="I12" s="25" t="inlineStr"/>
      <c r="J12" s="25" t="inlineStr"/>
      <c r="K12" s="25" t="inlineStr"/>
      <c r="L12" s="14" t="inlineStr">
        <is>
          <t>Orta</t>
        </is>
      </c>
      <c r="M12" s="6" t="inlineStr"/>
    </row>
    <row r="13" ht="40" customHeight="1">
      <c r="A13" s="16" t="inlineStr">
        <is>
          <t>C03-010</t>
        </is>
      </c>
      <c r="B13" s="26" t="inlineStr">
        <is>
          <t>C03</t>
        </is>
      </c>
      <c r="C13" s="18" t="inlineStr">
        <is>
          <t>Membership expire reminder (1 gün)</t>
        </is>
      </c>
      <c r="D13" s="18" t="inlineStr">
        <is>
          <t>—</t>
        </is>
      </c>
      <c r="E13" s="18" t="inlineStr">
        <is>
          <t>1. Cron run</t>
        </is>
      </c>
      <c r="F13" s="18" t="inlineStr">
        <is>
          <t>Acil mail.</t>
        </is>
      </c>
      <c r="G13" s="18" t="inlineStr"/>
      <c r="H13" s="16" t="inlineStr">
        <is>
          <t>Beklemede</t>
        </is>
      </c>
      <c r="I13" s="26" t="inlineStr"/>
      <c r="J13" s="26" t="inlineStr"/>
      <c r="K13" s="26" t="inlineStr"/>
      <c r="L13" s="16" t="inlineStr">
        <is>
          <t>Orta</t>
        </is>
      </c>
      <c r="M13" s="18" t="inlineStr"/>
    </row>
    <row r="14" ht="40" customHeight="1">
      <c r="A14" s="14" t="inlineStr">
        <is>
          <t>C03-011</t>
        </is>
      </c>
      <c r="B14" s="25" t="inlineStr">
        <is>
          <t>C03</t>
        </is>
      </c>
      <c r="C14" s="6" t="inlineStr">
        <is>
          <t>Membership downgrade (period end)</t>
        </is>
      </c>
      <c r="D14" s="6" t="inlineStr">
        <is>
          <t>Period bitti.</t>
        </is>
      </c>
      <c r="E14" s="6" t="inlineStr">
        <is>
          <t>1. Cron run</t>
        </is>
      </c>
      <c r="F14" s="6" t="inlineStr">
        <is>
          <t>Free tier'a düşer.</t>
        </is>
      </c>
      <c r="G14" s="6" t="inlineStr"/>
      <c r="H14" s="14" t="inlineStr">
        <is>
          <t>Beklemede</t>
        </is>
      </c>
      <c r="I14" s="25" t="inlineStr"/>
      <c r="J14" s="25" t="inlineStr"/>
      <c r="K14" s="25" t="inlineStr"/>
      <c r="L14" s="14" t="inlineStr">
        <is>
          <t>Orta</t>
        </is>
      </c>
      <c r="M14" s="6" t="inlineStr"/>
    </row>
    <row r="15" ht="40" customHeight="1">
      <c r="A15" s="16" t="inlineStr">
        <is>
          <t>C03-012</t>
        </is>
      </c>
      <c r="B15" s="26" t="inlineStr">
        <is>
          <t>C03</t>
        </is>
      </c>
      <c r="C15" s="18" t="inlineStr">
        <is>
          <t>Free user → premium öneri (aylık)</t>
        </is>
      </c>
      <c r="D15" s="18" t="inlineStr">
        <is>
          <t>—</t>
        </is>
      </c>
      <c r="E15" s="18" t="inlineStr">
        <is>
          <t>1. Aylık cron</t>
        </is>
      </c>
      <c r="F15" s="18" t="inlineStr">
        <is>
          <t>Free kullanıcılara mail.</t>
        </is>
      </c>
      <c r="G15" s="18" t="inlineStr"/>
      <c r="H15" s="16" t="inlineStr">
        <is>
          <t>Beklemede</t>
        </is>
      </c>
      <c r="I15" s="26" t="inlineStr"/>
      <c r="J15" s="26" t="inlineStr"/>
      <c r="K15" s="26" t="inlineStr"/>
      <c r="L15" s="16" t="inlineStr">
        <is>
          <t>Orta</t>
        </is>
      </c>
      <c r="M15" s="18" t="inlineStr"/>
    </row>
    <row r="16" ht="40" customHeight="1">
      <c r="A16" s="14" t="inlineStr">
        <is>
          <t>C03-013</t>
        </is>
      </c>
      <c r="B16" s="25" t="inlineStr">
        <is>
          <t>C03</t>
        </is>
      </c>
      <c r="C16" s="6" t="inlineStr">
        <is>
          <t>Email worker queue process</t>
        </is>
      </c>
      <c r="D16" s="6" t="inlineStr">
        <is>
          <t>Bull queue dolu.</t>
        </is>
      </c>
      <c r="E16" s="6" t="inlineStr">
        <is>
          <t>1. —</t>
        </is>
      </c>
      <c r="F16" s="6" t="inlineStr">
        <is>
          <t>Tüm queued mailler gönderilir.</t>
        </is>
      </c>
      <c r="G16" s="6" t="inlineStr"/>
      <c r="H16" s="14" t="inlineStr">
        <is>
          <t>Beklemede</t>
        </is>
      </c>
      <c r="I16" s="25" t="inlineStr"/>
      <c r="J16" s="25" t="inlineStr"/>
      <c r="K16" s="25" t="inlineStr"/>
      <c r="L16" s="14" t="inlineStr">
        <is>
          <t>Orta</t>
        </is>
      </c>
      <c r="M16" s="6" t="inlineStr"/>
    </row>
    <row r="17" ht="40" customHeight="1">
      <c r="A17" s="16" t="inlineStr">
        <is>
          <t>C03-014</t>
        </is>
      </c>
      <c r="B17" s="26" t="inlineStr">
        <is>
          <t>C03</t>
        </is>
      </c>
      <c r="C17" s="18" t="inlineStr">
        <is>
          <t>Shipping worker — webhook process</t>
        </is>
      </c>
      <c r="D17" s="18" t="inlineStr">
        <is>
          <t>Sürat webhook geldi.</t>
        </is>
      </c>
      <c r="E17" s="18" t="inlineStr">
        <is>
          <t>1. —</t>
        </is>
      </c>
      <c r="F17" s="18" t="inlineStr">
        <is>
          <t>Shipment status update; mail.</t>
        </is>
      </c>
      <c r="G17" s="18" t="inlineStr"/>
      <c r="H17" s="16" t="inlineStr">
        <is>
          <t>Beklemede</t>
        </is>
      </c>
      <c r="I17" s="26" t="inlineStr"/>
      <c r="J17" s="26" t="inlineStr"/>
      <c r="K17" s="26" t="inlineStr"/>
      <c r="L17" s="16" t="inlineStr">
        <is>
          <t>Orta</t>
        </is>
      </c>
      <c r="M17" s="18" t="inlineStr"/>
    </row>
    <row r="20">
      <c r="A20" s="27" t="inlineStr">
        <is>
          <t>Bu sayfadaki tüm senaryolar test edilmiş ve sonuçlar yukarıda işaretlenmiştir.</t>
        </is>
      </c>
    </row>
    <row r="21">
      <c r="A21" s="28" t="inlineStr">
        <is>
          <t>Test Eden (Tarodan)</t>
        </is>
      </c>
      <c r="D21" s="28" t="inlineStr">
        <is>
          <t>Tarih</t>
        </is>
      </c>
      <c r="G21" s="28" t="inlineStr">
        <is>
          <t>Onaylayan (Müşteri)</t>
        </is>
      </c>
      <c r="J21" s="28" t="inlineStr">
        <is>
          <t>Tarih</t>
        </is>
      </c>
    </row>
    <row r="22">
      <c r="A22" s="7" t="n"/>
      <c r="D22" s="7" t="n"/>
      <c r="G22" s="7" t="n"/>
      <c r="J22" s="7" t="n"/>
    </row>
  </sheetData>
  <mergeCells count="7">
    <mergeCell ref="A1:M1"/>
    <mergeCell ref="J22:K22"/>
    <mergeCell ref="D22:E22"/>
    <mergeCell ref="G22:H22"/>
    <mergeCell ref="A20:M20"/>
    <mergeCell ref="A2:M2"/>
    <mergeCell ref="A22:B22"/>
  </mergeCells>
  <conditionalFormatting sqref="H4:H17">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7" showDropDown="0" showInputMessage="0" showErrorMessage="0" allowBlank="1" errorTitle="Geçersiz değer" error="Lütfen listedeki seçeneklerden birini seçin." type="list">
      <formula1>"Beklemede,Geçti,Kaldı,Bloke,Yapılamadı,N/A"</formula1>
    </dataValidation>
    <dataValidation sqref="L4:L17" showDropDown="0" showInputMessage="0" showErrorMessage="0" allowBlank="1" type="list">
      <formula1>"Kritik,Yüksek,Orta,Düşük"</formula1>
    </dataValidation>
    <dataValidation sqref="K4:K17"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C04 — Edge Cases ve Hata Senaryoları</t>
        </is>
      </c>
    </row>
    <row r="2" ht="28" customHeight="1">
      <c r="A2" s="24" t="inlineStr">
        <is>
          <t>Sınırlar, beklenmedik durumlar, hata mesajları.</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C04-001</t>
        </is>
      </c>
      <c r="B4" s="25" t="inlineStr">
        <is>
          <t>C04</t>
        </is>
      </c>
      <c r="C4" s="6" t="inlineStr">
        <is>
          <t>Çok büyük resim yükleme</t>
        </is>
      </c>
      <c r="D4" s="6" t="inlineStr">
        <is>
          <t>—</t>
        </is>
      </c>
      <c r="E4" s="6" t="inlineStr">
        <is>
          <t>1. 20MB resim yükle</t>
        </is>
      </c>
      <c r="F4" s="6" t="inlineStr">
        <is>
          <t>Reddedilir; max boyut hatası.</t>
        </is>
      </c>
      <c r="G4" s="6" t="inlineStr"/>
      <c r="H4" s="14" t="inlineStr">
        <is>
          <t>Beklemede</t>
        </is>
      </c>
      <c r="I4" s="25" t="inlineStr"/>
      <c r="J4" s="25" t="inlineStr"/>
      <c r="K4" s="25" t="inlineStr"/>
      <c r="L4" s="14" t="inlineStr">
        <is>
          <t>Orta</t>
        </is>
      </c>
      <c r="M4" s="6" t="inlineStr"/>
    </row>
    <row r="5" ht="40" customHeight="1">
      <c r="A5" s="16" t="inlineStr">
        <is>
          <t>C04-002</t>
        </is>
      </c>
      <c r="B5" s="26" t="inlineStr">
        <is>
          <t>C04</t>
        </is>
      </c>
      <c r="C5" s="18" t="inlineStr">
        <is>
          <t>Çok uzun başlık/açıklama</t>
        </is>
      </c>
      <c r="D5" s="18" t="inlineStr">
        <is>
          <t>—</t>
        </is>
      </c>
      <c r="E5" s="18" t="inlineStr">
        <is>
          <t>1. Karakter limitini aş</t>
        </is>
      </c>
      <c r="F5" s="18" t="inlineStr">
        <is>
          <t>Form geçmez.</t>
        </is>
      </c>
      <c r="G5" s="18" t="inlineStr"/>
      <c r="H5" s="16" t="inlineStr">
        <is>
          <t>Beklemede</t>
        </is>
      </c>
      <c r="I5" s="26" t="inlineStr"/>
      <c r="J5" s="26" t="inlineStr"/>
      <c r="K5" s="26" t="inlineStr"/>
      <c r="L5" s="16" t="inlineStr">
        <is>
          <t>Orta</t>
        </is>
      </c>
      <c r="M5" s="18" t="inlineStr"/>
    </row>
    <row r="6" ht="40" customHeight="1">
      <c r="A6" s="14" t="inlineStr">
        <is>
          <t>C04-003</t>
        </is>
      </c>
      <c r="B6" s="25" t="inlineStr">
        <is>
          <t>C04</t>
        </is>
      </c>
      <c r="C6" s="6" t="inlineStr">
        <is>
          <t>SQL injection denemesi</t>
        </is>
      </c>
      <c r="D6" s="6" t="inlineStr">
        <is>
          <t>—</t>
        </is>
      </c>
      <c r="E6" s="6" t="inlineStr">
        <is>
          <t>1. Form alanına `' OR 1=1--`</t>
        </is>
      </c>
      <c r="F6" s="6" t="inlineStr">
        <is>
          <t>Sanitize edilir; hata vermez; injection olmaz.</t>
        </is>
      </c>
      <c r="G6" s="6" t="inlineStr"/>
      <c r="H6" s="14" t="inlineStr">
        <is>
          <t>Beklemede</t>
        </is>
      </c>
      <c r="I6" s="25" t="inlineStr"/>
      <c r="J6" s="25" t="inlineStr"/>
      <c r="K6" s="25" t="inlineStr"/>
      <c r="L6" s="14" t="inlineStr">
        <is>
          <t>Kritik</t>
        </is>
      </c>
      <c r="M6" s="6" t="inlineStr"/>
    </row>
    <row r="7" ht="40" customHeight="1">
      <c r="A7" s="16" t="inlineStr">
        <is>
          <t>C04-004</t>
        </is>
      </c>
      <c r="B7" s="26" t="inlineStr">
        <is>
          <t>C04</t>
        </is>
      </c>
      <c r="C7" s="18" t="inlineStr">
        <is>
          <t>XSS denemesi (yorum)</t>
        </is>
      </c>
      <c r="D7" s="18" t="inlineStr">
        <is>
          <t>—</t>
        </is>
      </c>
      <c r="E7" s="18" t="inlineStr">
        <is>
          <t>1. Yorum: `&lt;script&gt;alert(1)&lt;/script&gt;`</t>
        </is>
      </c>
      <c r="F7" s="18" t="inlineStr">
        <is>
          <t>Escape edilir; render edilmez.</t>
        </is>
      </c>
      <c r="G7" s="18" t="inlineStr"/>
      <c r="H7" s="16" t="inlineStr">
        <is>
          <t>Beklemede</t>
        </is>
      </c>
      <c r="I7" s="26" t="inlineStr"/>
      <c r="J7" s="26" t="inlineStr"/>
      <c r="K7" s="26" t="inlineStr"/>
      <c r="L7" s="16" t="inlineStr">
        <is>
          <t>Kritik</t>
        </is>
      </c>
      <c r="M7" s="18" t="inlineStr"/>
    </row>
    <row r="8" ht="40" customHeight="1">
      <c r="A8" s="14" t="inlineStr">
        <is>
          <t>C04-005</t>
        </is>
      </c>
      <c r="B8" s="25" t="inlineStr">
        <is>
          <t>C04</t>
        </is>
      </c>
      <c r="C8" s="6" t="inlineStr">
        <is>
          <t>CSRF korumalı endpoint</t>
        </is>
      </c>
      <c r="D8" s="6" t="inlineStr">
        <is>
          <t>—</t>
        </is>
      </c>
      <c r="E8" s="6" t="inlineStr">
        <is>
          <t>1. Cookie'siz POST dene</t>
        </is>
      </c>
      <c r="F8" s="6" t="inlineStr">
        <is>
          <t>403 reddedilir.</t>
        </is>
      </c>
      <c r="G8" s="6" t="inlineStr"/>
      <c r="H8" s="14" t="inlineStr">
        <is>
          <t>Beklemede</t>
        </is>
      </c>
      <c r="I8" s="25" t="inlineStr"/>
      <c r="J8" s="25" t="inlineStr"/>
      <c r="K8" s="25" t="inlineStr"/>
      <c r="L8" s="14" t="inlineStr">
        <is>
          <t>Orta</t>
        </is>
      </c>
      <c r="M8" s="6" t="inlineStr"/>
    </row>
    <row r="9" ht="40" customHeight="1">
      <c r="A9" s="16" t="inlineStr">
        <is>
          <t>C04-006</t>
        </is>
      </c>
      <c r="B9" s="26" t="inlineStr">
        <is>
          <t>C04</t>
        </is>
      </c>
      <c r="C9" s="18" t="inlineStr">
        <is>
          <t>Çok hızlı tıklama (double-submit)</t>
        </is>
      </c>
      <c r="D9" s="18" t="inlineStr">
        <is>
          <t>—</t>
        </is>
      </c>
      <c r="E9" s="18" t="inlineStr">
        <is>
          <t>1. Sipariş Onayla'ya art arda 5 kez bas</t>
        </is>
      </c>
      <c r="F9" s="18" t="inlineStr">
        <is>
          <t>Idempotency; sadece 1 sipariş oluşur.</t>
        </is>
      </c>
      <c r="G9" s="18" t="inlineStr"/>
      <c r="H9" s="16" t="inlineStr">
        <is>
          <t>Beklemede</t>
        </is>
      </c>
      <c r="I9" s="26" t="inlineStr"/>
      <c r="J9" s="26" t="inlineStr"/>
      <c r="K9" s="26" t="inlineStr"/>
      <c r="L9" s="16" t="inlineStr">
        <is>
          <t>Yüksek</t>
        </is>
      </c>
      <c r="M9" s="18" t="inlineStr"/>
    </row>
    <row r="10" ht="40" customHeight="1">
      <c r="A10" s="14" t="inlineStr">
        <is>
          <t>C04-007</t>
        </is>
      </c>
      <c r="B10" s="25" t="inlineStr">
        <is>
          <t>C04</t>
        </is>
      </c>
      <c r="C10" s="6" t="inlineStr">
        <is>
          <t>İnternet kesilmesi (offline)</t>
        </is>
      </c>
      <c r="D10" s="6" t="inlineStr">
        <is>
          <t>—</t>
        </is>
      </c>
      <c r="E10" s="6" t="inlineStr">
        <is>
          <t>1. Form gönderirken internet kes</t>
        </is>
      </c>
      <c r="F10" s="6" t="inlineStr">
        <is>
          <t>Hata mesajı; veri kaybolmaz.</t>
        </is>
      </c>
      <c r="G10" s="6" t="inlineStr"/>
      <c r="H10" s="14" t="inlineStr">
        <is>
          <t>Beklemede</t>
        </is>
      </c>
      <c r="I10" s="25" t="inlineStr"/>
      <c r="J10" s="25" t="inlineStr"/>
      <c r="K10" s="25" t="inlineStr"/>
      <c r="L10" s="14" t="inlineStr">
        <is>
          <t>Orta</t>
        </is>
      </c>
      <c r="M10" s="6" t="inlineStr"/>
    </row>
    <row r="11" ht="40" customHeight="1">
      <c r="A11" s="16" t="inlineStr">
        <is>
          <t>C04-008</t>
        </is>
      </c>
      <c r="B11" s="26" t="inlineStr">
        <is>
          <t>C04</t>
        </is>
      </c>
      <c r="C11" s="18" t="inlineStr">
        <is>
          <t>Tarayıcı geri butonu</t>
        </is>
      </c>
      <c r="D11" s="18" t="inlineStr">
        <is>
          <t>—</t>
        </is>
      </c>
      <c r="E11" s="18" t="inlineStr">
        <is>
          <t>1. Checkout sırasında geri</t>
        </is>
      </c>
      <c r="F11" s="18" t="inlineStr">
        <is>
          <t>Veri korunur; uyarı çıkar.</t>
        </is>
      </c>
      <c r="G11" s="18" t="inlineStr"/>
      <c r="H11" s="16" t="inlineStr">
        <is>
          <t>Beklemede</t>
        </is>
      </c>
      <c r="I11" s="26" t="inlineStr"/>
      <c r="J11" s="26" t="inlineStr"/>
      <c r="K11" s="26" t="inlineStr"/>
      <c r="L11" s="16" t="inlineStr">
        <is>
          <t>Orta</t>
        </is>
      </c>
      <c r="M11" s="18" t="inlineStr"/>
    </row>
    <row r="12" ht="40" customHeight="1">
      <c r="A12" s="14" t="inlineStr">
        <is>
          <t>C04-009</t>
        </is>
      </c>
      <c r="B12" s="25" t="inlineStr">
        <is>
          <t>C04</t>
        </is>
      </c>
      <c r="C12" s="6" t="inlineStr">
        <is>
          <t>Aynı ürün iki sekmede sepete ekleme</t>
        </is>
      </c>
      <c r="D12" s="6" t="inlineStr">
        <is>
          <t>—</t>
        </is>
      </c>
      <c r="E12" s="6" t="inlineStr">
        <is>
          <t>1. İki sekmede de ekle</t>
        </is>
      </c>
      <c r="F12" s="6" t="inlineStr">
        <is>
          <t>Quantity senkron olur veya çakışma uyarısı.</t>
        </is>
      </c>
      <c r="G12" s="6" t="inlineStr"/>
      <c r="H12" s="14" t="inlineStr">
        <is>
          <t>Beklemede</t>
        </is>
      </c>
      <c r="I12" s="25" t="inlineStr"/>
      <c r="J12" s="25" t="inlineStr"/>
      <c r="K12" s="25" t="inlineStr"/>
      <c r="L12" s="14" t="inlineStr">
        <is>
          <t>Orta</t>
        </is>
      </c>
      <c r="M12" s="6" t="inlineStr"/>
    </row>
    <row r="13" ht="40" customHeight="1">
      <c r="A13" s="16" t="inlineStr">
        <is>
          <t>C04-010</t>
        </is>
      </c>
      <c r="B13" s="26" t="inlineStr">
        <is>
          <t>C04</t>
        </is>
      </c>
      <c r="C13" s="18" t="inlineStr">
        <is>
          <t>Negatif fiyat / sıfır fiyat</t>
        </is>
      </c>
      <c r="D13" s="18" t="inlineStr">
        <is>
          <t>—</t>
        </is>
      </c>
      <c r="E13" s="18" t="inlineStr">
        <is>
          <t>1. İlan oluştururken 0 veya -10</t>
        </is>
      </c>
      <c r="F13" s="18" t="inlineStr">
        <is>
          <t>Validasyon engeller.</t>
        </is>
      </c>
      <c r="G13" s="18" t="inlineStr"/>
      <c r="H13" s="16" t="inlineStr">
        <is>
          <t>Beklemede</t>
        </is>
      </c>
      <c r="I13" s="26" t="inlineStr"/>
      <c r="J13" s="26" t="inlineStr"/>
      <c r="K13" s="26" t="inlineStr"/>
      <c r="L13" s="16" t="inlineStr">
        <is>
          <t>Orta</t>
        </is>
      </c>
      <c r="M13" s="18" t="inlineStr"/>
    </row>
    <row r="14" ht="40" customHeight="1">
      <c r="A14" s="14" t="inlineStr">
        <is>
          <t>C04-011</t>
        </is>
      </c>
      <c r="B14" s="25" t="inlineStr">
        <is>
          <t>C04</t>
        </is>
      </c>
      <c r="C14" s="6" t="inlineStr">
        <is>
          <t>Gelecek tarihli kupon</t>
        </is>
      </c>
      <c r="D14" s="6" t="inlineStr">
        <is>
          <t>Henüz başlamamış kupon.</t>
        </is>
      </c>
      <c r="E14" s="6" t="inlineStr">
        <is>
          <t>1. Uygulamayı dene</t>
        </is>
      </c>
      <c r="F14" s="6" t="inlineStr">
        <is>
          <t>Henüz aktif değil hatası.</t>
        </is>
      </c>
      <c r="G14" s="6" t="inlineStr"/>
      <c r="H14" s="14" t="inlineStr">
        <is>
          <t>Beklemede</t>
        </is>
      </c>
      <c r="I14" s="25" t="inlineStr"/>
      <c r="J14" s="25" t="inlineStr"/>
      <c r="K14" s="25" t="inlineStr"/>
      <c r="L14" s="14" t="inlineStr">
        <is>
          <t>Orta</t>
        </is>
      </c>
      <c r="M14" s="6" t="inlineStr"/>
    </row>
    <row r="15" ht="40" customHeight="1">
      <c r="A15" s="16" t="inlineStr">
        <is>
          <t>C04-012</t>
        </is>
      </c>
      <c r="B15" s="26" t="inlineStr">
        <is>
          <t>C04</t>
        </is>
      </c>
      <c r="C15" s="18" t="inlineStr">
        <is>
          <t>Çok fazla dil desteği test</t>
        </is>
      </c>
      <c r="D15" s="18" t="inlineStr">
        <is>
          <t>—</t>
        </is>
      </c>
      <c r="E15" s="18" t="inlineStr">
        <is>
          <t>1. Dil değiştir (TR/EN)</t>
        </is>
      </c>
      <c r="F15" s="18" t="inlineStr">
        <is>
          <t>Tüm metinler çevrilir; bozuk render yok.</t>
        </is>
      </c>
      <c r="G15" s="18" t="inlineStr"/>
      <c r="H15" s="16" t="inlineStr">
        <is>
          <t>Beklemede</t>
        </is>
      </c>
      <c r="I15" s="26" t="inlineStr"/>
      <c r="J15" s="26" t="inlineStr"/>
      <c r="K15" s="26" t="inlineStr"/>
      <c r="L15" s="16" t="inlineStr">
        <is>
          <t>Orta</t>
        </is>
      </c>
      <c r="M15" s="18" t="inlineStr"/>
    </row>
    <row r="16" ht="40" customHeight="1">
      <c r="A16" s="14" t="inlineStr">
        <is>
          <t>C04-013</t>
        </is>
      </c>
      <c r="B16" s="25" t="inlineStr">
        <is>
          <t>C04</t>
        </is>
      </c>
      <c r="C16" s="6" t="inlineStr">
        <is>
          <t>Yarım dolu form refresh</t>
        </is>
      </c>
      <c r="D16" s="6" t="inlineStr">
        <is>
          <t>—</t>
        </is>
      </c>
      <c r="E16" s="6" t="inlineStr">
        <is>
          <t>1. Form doldururken sayfayı yenile</t>
        </is>
      </c>
      <c r="F16" s="6" t="inlineStr">
        <is>
          <t>Değerler kaybolur (kasten); kritik formlarda uyarı.</t>
        </is>
      </c>
      <c r="G16" s="6" t="inlineStr"/>
      <c r="H16" s="14" t="inlineStr">
        <is>
          <t>Beklemede</t>
        </is>
      </c>
      <c r="I16" s="25" t="inlineStr"/>
      <c r="J16" s="25" t="inlineStr"/>
      <c r="K16" s="25" t="inlineStr"/>
      <c r="L16" s="14" t="inlineStr">
        <is>
          <t>Orta</t>
        </is>
      </c>
      <c r="M16" s="6" t="inlineStr"/>
    </row>
    <row r="19">
      <c r="A19" s="27" t="inlineStr">
        <is>
          <t>Bu sayfadaki tüm senaryolar test edilmiş ve sonuçlar yukarıda işaretlenmiştir.</t>
        </is>
      </c>
    </row>
    <row r="20">
      <c r="A20" s="28" t="inlineStr">
        <is>
          <t>Test Eden (Tarodan)</t>
        </is>
      </c>
      <c r="D20" s="28" t="inlineStr">
        <is>
          <t>Tarih</t>
        </is>
      </c>
      <c r="G20" s="28" t="inlineStr">
        <is>
          <t>Onaylayan (Müşteri)</t>
        </is>
      </c>
      <c r="J20" s="28" t="inlineStr">
        <is>
          <t>Tarih</t>
        </is>
      </c>
    </row>
    <row r="21">
      <c r="A21" s="7" t="n"/>
      <c r="D21" s="7" t="n"/>
      <c r="G21" s="7" t="n"/>
      <c r="J21" s="7" t="n"/>
    </row>
  </sheetData>
  <mergeCells count="7">
    <mergeCell ref="G21:H21"/>
    <mergeCell ref="A19:M19"/>
    <mergeCell ref="A21:B21"/>
    <mergeCell ref="J21:K21"/>
    <mergeCell ref="A1:M1"/>
    <mergeCell ref="A2:M2"/>
    <mergeCell ref="D21:E21"/>
  </mergeCells>
  <conditionalFormatting sqref="H4:H16">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6" showDropDown="0" showInputMessage="0" showErrorMessage="0" allowBlank="1" errorTitle="Geçersiz değer" error="Lütfen listedeki seçeneklerden birini seçin." type="list">
      <formula1>"Beklemede,Geçti,Kaldı,Bloke,Yapılamadı,N/A"</formula1>
    </dataValidation>
    <dataValidation sqref="L4:L16" showDropDown="0" showInputMessage="0" showErrorMessage="0" allowBlank="1" type="list">
      <formula1>"Kritik,Yüksek,Orta,Düşük"</formula1>
    </dataValidation>
    <dataValidation sqref="K4:K16"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C05 — Performans ve Yük (Smoke)</t>
        </is>
      </c>
    </row>
    <row r="2" ht="28" customHeight="1">
      <c r="A2" s="24" t="inlineStr">
        <is>
          <t>Sayfa yükleme süresi, çok ürünlü liste, paralel sipariş.</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C05-001</t>
        </is>
      </c>
      <c r="B4" s="25" t="inlineStr">
        <is>
          <t>C05</t>
        </is>
      </c>
      <c r="C4" s="6" t="inlineStr">
        <is>
          <t>Anasayfa yükleme süresi</t>
        </is>
      </c>
      <c r="D4" s="6" t="inlineStr">
        <is>
          <t>Cache cold.</t>
        </is>
      </c>
      <c r="E4" s="6" t="inlineStr">
        <is>
          <t>1. Lighthouse veya devtools</t>
        </is>
      </c>
      <c r="F4" s="6" t="inlineStr">
        <is>
          <t>FCP &lt; 2s, LCP &lt; 3s.</t>
        </is>
      </c>
      <c r="G4" s="6" t="inlineStr"/>
      <c r="H4" s="14" t="inlineStr">
        <is>
          <t>Beklemede</t>
        </is>
      </c>
      <c r="I4" s="25" t="inlineStr"/>
      <c r="J4" s="25" t="inlineStr"/>
      <c r="K4" s="25" t="inlineStr"/>
      <c r="L4" s="14" t="inlineStr">
        <is>
          <t>Orta</t>
        </is>
      </c>
      <c r="M4" s="6" t="inlineStr"/>
    </row>
    <row r="5" ht="40" customHeight="1">
      <c r="A5" s="16" t="inlineStr">
        <is>
          <t>C05-002</t>
        </is>
      </c>
      <c r="B5" s="26" t="inlineStr">
        <is>
          <t>C05</t>
        </is>
      </c>
      <c r="C5" s="18" t="inlineStr">
        <is>
          <t>Listeleme sayfası 1000+ ürün</t>
        </is>
      </c>
      <c r="D5" s="18" t="inlineStr">
        <is>
          <t>—</t>
        </is>
      </c>
      <c r="E5" s="18" t="inlineStr">
        <is>
          <t>1. Liste açma</t>
        </is>
      </c>
      <c r="F5" s="18" t="inlineStr">
        <is>
          <t>Sayfalama veya virtualization; akıcı.</t>
        </is>
      </c>
      <c r="G5" s="18" t="inlineStr"/>
      <c r="H5" s="16" t="inlineStr">
        <is>
          <t>Beklemede</t>
        </is>
      </c>
      <c r="I5" s="26" t="inlineStr"/>
      <c r="J5" s="26" t="inlineStr"/>
      <c r="K5" s="26" t="inlineStr"/>
      <c r="L5" s="16" t="inlineStr">
        <is>
          <t>Orta</t>
        </is>
      </c>
      <c r="M5" s="18" t="inlineStr"/>
    </row>
    <row r="6" ht="40" customHeight="1">
      <c r="A6" s="14" t="inlineStr">
        <is>
          <t>C05-003</t>
        </is>
      </c>
      <c r="B6" s="25" t="inlineStr">
        <is>
          <t>C05</t>
        </is>
      </c>
      <c r="C6" s="6" t="inlineStr">
        <is>
          <t>Paralel 50 sipariş simülasyonu</t>
        </is>
      </c>
      <c r="D6" s="6" t="inlineStr">
        <is>
          <t>Yük testi script.</t>
        </is>
      </c>
      <c r="E6" s="6" t="inlineStr">
        <is>
          <t>1. 50 paralel checkout</t>
        </is>
      </c>
      <c r="F6" s="6" t="inlineStr">
        <is>
          <t>Kuyruğa alınır; çakışma yok.</t>
        </is>
      </c>
      <c r="G6" s="6" t="inlineStr"/>
      <c r="H6" s="14" t="inlineStr">
        <is>
          <t>Beklemede</t>
        </is>
      </c>
      <c r="I6" s="25" t="inlineStr"/>
      <c r="J6" s="25" t="inlineStr"/>
      <c r="K6" s="25" t="inlineStr"/>
      <c r="L6" s="14" t="inlineStr">
        <is>
          <t>Orta</t>
        </is>
      </c>
      <c r="M6" s="6" t="inlineStr"/>
    </row>
    <row r="7" ht="40" customHeight="1">
      <c r="A7" s="16" t="inlineStr">
        <is>
          <t>C05-004</t>
        </is>
      </c>
      <c r="B7" s="26" t="inlineStr">
        <is>
          <t>C05</t>
        </is>
      </c>
      <c r="C7" s="18" t="inlineStr">
        <is>
          <t>Mail kuyruk yığılması</t>
        </is>
      </c>
      <c r="D7" s="18" t="inlineStr">
        <is>
          <t>—</t>
        </is>
      </c>
      <c r="E7" s="18" t="inlineStr">
        <is>
          <t>1. 100 sipariş hızlıca</t>
        </is>
      </c>
      <c r="F7" s="18" t="inlineStr">
        <is>
          <t>Bull queue işler; gecikme normal sınırda.</t>
        </is>
      </c>
      <c r="G7" s="18" t="inlineStr"/>
      <c r="H7" s="16" t="inlineStr">
        <is>
          <t>Beklemede</t>
        </is>
      </c>
      <c r="I7" s="26" t="inlineStr"/>
      <c r="J7" s="26" t="inlineStr"/>
      <c r="K7" s="26" t="inlineStr"/>
      <c r="L7" s="16" t="inlineStr">
        <is>
          <t>Orta</t>
        </is>
      </c>
      <c r="M7" s="18" t="inlineStr"/>
    </row>
    <row r="8" ht="40" customHeight="1">
      <c r="A8" s="14" t="inlineStr">
        <is>
          <t>C05-005</t>
        </is>
      </c>
      <c r="B8" s="25" t="inlineStr">
        <is>
          <t>C05</t>
        </is>
      </c>
      <c r="C8" s="6" t="inlineStr">
        <is>
          <t>Resim CDN cache</t>
        </is>
      </c>
      <c r="D8" s="6" t="inlineStr">
        <is>
          <t>—</t>
        </is>
      </c>
      <c r="E8" s="6" t="inlineStr">
        <is>
          <t>1. Aynı resmi 2. kez yükle</t>
        </is>
      </c>
      <c r="F8" s="6" t="inlineStr">
        <is>
          <t>Cache hit, hızlı.</t>
        </is>
      </c>
      <c r="G8" s="6" t="inlineStr"/>
      <c r="H8" s="14" t="inlineStr">
        <is>
          <t>Beklemede</t>
        </is>
      </c>
      <c r="I8" s="25" t="inlineStr"/>
      <c r="J8" s="25" t="inlineStr"/>
      <c r="K8" s="25" t="inlineStr"/>
      <c r="L8" s="14" t="inlineStr">
        <is>
          <t>Orta</t>
        </is>
      </c>
      <c r="M8" s="6" t="inlineStr"/>
    </row>
    <row r="11">
      <c r="A11" s="27" t="inlineStr">
        <is>
          <t>Bu sayfadaki tüm senaryolar test edilmiş ve sonuçlar yukarıda işaretlenmiştir.</t>
        </is>
      </c>
    </row>
    <row r="12">
      <c r="A12" s="28" t="inlineStr">
        <is>
          <t>Test Eden (Tarodan)</t>
        </is>
      </c>
      <c r="D12" s="28" t="inlineStr">
        <is>
          <t>Tarih</t>
        </is>
      </c>
      <c r="G12" s="28" t="inlineStr">
        <is>
          <t>Onaylayan (Müşteri)</t>
        </is>
      </c>
      <c r="J12" s="28" t="inlineStr">
        <is>
          <t>Tarih</t>
        </is>
      </c>
    </row>
    <row r="13">
      <c r="A13" s="7" t="n"/>
      <c r="D13" s="7" t="n"/>
      <c r="G13" s="7" t="n"/>
      <c r="J13" s="7" t="n"/>
    </row>
  </sheetData>
  <mergeCells count="7">
    <mergeCell ref="A1:M1"/>
    <mergeCell ref="D13:E13"/>
    <mergeCell ref="A13:B13"/>
    <mergeCell ref="G13:H13"/>
    <mergeCell ref="J13:K13"/>
    <mergeCell ref="A2:M2"/>
    <mergeCell ref="A11:M11"/>
  </mergeCells>
  <conditionalFormatting sqref="H4:H8">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8" showDropDown="0" showInputMessage="0" showErrorMessage="0" allowBlank="1" errorTitle="Geçersiz değer" error="Lütfen listedeki seçeneklerden birini seçin." type="list">
      <formula1>"Beklemede,Geçti,Kaldı,Bloke,Yapılamadı,N/A"</formula1>
    </dataValidation>
    <dataValidation sqref="L4:L8" showDropDown="0" showInputMessage="0" showErrorMessage="0" allowBlank="1" type="list">
      <formula1>"Kritik,Yüksek,Orta,Düşük"</formula1>
    </dataValidation>
    <dataValidation sqref="K4:K8"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C06 — Güvenlik ve Yetki Sınırları</t>
        </is>
      </c>
    </row>
    <row r="2" ht="28" customHeight="1">
      <c r="A2" s="24" t="inlineStr">
        <is>
          <t>Auth, IDOR, role escalation, CORS.</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C06-001</t>
        </is>
      </c>
      <c r="B4" s="25" t="inlineStr">
        <is>
          <t>C06</t>
        </is>
      </c>
      <c r="C4" s="6" t="inlineStr">
        <is>
          <t>Başkasının siparişine IDOR ile erişme</t>
        </is>
      </c>
      <c r="D4" s="6" t="inlineStr">
        <is>
          <t>Login.</t>
        </is>
      </c>
      <c r="E4" s="6" t="inlineStr">
        <is>
          <t>1. URL'deki ID değiştir</t>
        </is>
      </c>
      <c r="F4" s="6" t="inlineStr">
        <is>
          <t>403; erişim engellenir.</t>
        </is>
      </c>
      <c r="G4" s="6" t="inlineStr"/>
      <c r="H4" s="14" t="inlineStr">
        <is>
          <t>Beklemede</t>
        </is>
      </c>
      <c r="I4" s="25" t="inlineStr"/>
      <c r="J4" s="25" t="inlineStr"/>
      <c r="K4" s="25" t="inlineStr"/>
      <c r="L4" s="14" t="inlineStr">
        <is>
          <t>Kritik</t>
        </is>
      </c>
      <c r="M4" s="6" t="inlineStr"/>
    </row>
    <row r="5" ht="40" customHeight="1">
      <c r="A5" s="16" t="inlineStr">
        <is>
          <t>C06-002</t>
        </is>
      </c>
      <c r="B5" s="26" t="inlineStr">
        <is>
          <t>C06</t>
        </is>
      </c>
      <c r="C5" s="18" t="inlineStr">
        <is>
          <t>Başkasının ilanını silmeye çalışma</t>
        </is>
      </c>
      <c r="D5" s="18" t="inlineStr">
        <is>
          <t>—</t>
        </is>
      </c>
      <c r="E5" s="18" t="inlineStr">
        <is>
          <t>1. API'ye DELETE dene</t>
        </is>
      </c>
      <c r="F5" s="18" t="inlineStr">
        <is>
          <t>403.</t>
        </is>
      </c>
      <c r="G5" s="18" t="inlineStr"/>
      <c r="H5" s="16" t="inlineStr">
        <is>
          <t>Beklemede</t>
        </is>
      </c>
      <c r="I5" s="26" t="inlineStr"/>
      <c r="J5" s="26" t="inlineStr"/>
      <c r="K5" s="26" t="inlineStr"/>
      <c r="L5" s="16" t="inlineStr">
        <is>
          <t>Orta</t>
        </is>
      </c>
      <c r="M5" s="18" t="inlineStr"/>
    </row>
    <row r="6" ht="40" customHeight="1">
      <c r="A6" s="14" t="inlineStr">
        <is>
          <t>C06-003</t>
        </is>
      </c>
      <c r="B6" s="25" t="inlineStr">
        <is>
          <t>C06</t>
        </is>
      </c>
      <c r="C6" s="6" t="inlineStr">
        <is>
          <t>Admin endpoint'ine normal kullanıcı çağrısı</t>
        </is>
      </c>
      <c r="D6" s="6" t="inlineStr">
        <is>
          <t>Normal user JWT.</t>
        </is>
      </c>
      <c r="E6" s="6" t="inlineStr">
        <is>
          <t>1. /api/admin/users çağır</t>
        </is>
      </c>
      <c r="F6" s="6" t="inlineStr">
        <is>
          <t>403.</t>
        </is>
      </c>
      <c r="G6" s="6" t="inlineStr"/>
      <c r="H6" s="14" t="inlineStr">
        <is>
          <t>Beklemede</t>
        </is>
      </c>
      <c r="I6" s="25" t="inlineStr"/>
      <c r="J6" s="25" t="inlineStr"/>
      <c r="K6" s="25" t="inlineStr"/>
      <c r="L6" s="14" t="inlineStr">
        <is>
          <t>Orta</t>
        </is>
      </c>
      <c r="M6" s="6" t="inlineStr"/>
    </row>
    <row r="7" ht="40" customHeight="1">
      <c r="A7" s="16" t="inlineStr">
        <is>
          <t>C06-004</t>
        </is>
      </c>
      <c r="B7" s="26" t="inlineStr">
        <is>
          <t>C06</t>
        </is>
      </c>
      <c r="C7" s="18" t="inlineStr">
        <is>
          <t>JWT manipülasyonu</t>
        </is>
      </c>
      <c r="D7" s="18" t="inlineStr">
        <is>
          <t>—</t>
        </is>
      </c>
      <c r="E7" s="18" t="inlineStr">
        <is>
          <t>1. Token'ın role claim'ini admin yap</t>
        </is>
      </c>
      <c r="F7" s="18" t="inlineStr">
        <is>
          <t>İmza doğrulaması başarısız; reddedilir.</t>
        </is>
      </c>
      <c r="G7" s="18" t="inlineStr"/>
      <c r="H7" s="16" t="inlineStr">
        <is>
          <t>Beklemede</t>
        </is>
      </c>
      <c r="I7" s="26" t="inlineStr"/>
      <c r="J7" s="26" t="inlineStr"/>
      <c r="K7" s="26" t="inlineStr"/>
      <c r="L7" s="16" t="inlineStr">
        <is>
          <t>Orta</t>
        </is>
      </c>
      <c r="M7" s="18" t="inlineStr"/>
    </row>
    <row r="8" ht="40" customHeight="1">
      <c r="A8" s="14" t="inlineStr">
        <is>
          <t>C06-005</t>
        </is>
      </c>
      <c r="B8" s="25" t="inlineStr">
        <is>
          <t>C06</t>
        </is>
      </c>
      <c r="C8" s="6" t="inlineStr">
        <is>
          <t>Şifre brute force</t>
        </is>
      </c>
      <c r="D8" s="6" t="inlineStr">
        <is>
          <t>—</t>
        </is>
      </c>
      <c r="E8" s="6" t="inlineStr">
        <is>
          <t>1. 10 deneme</t>
        </is>
      </c>
      <c r="F8" s="6" t="inlineStr">
        <is>
          <t>Lockout uygulanır.</t>
        </is>
      </c>
      <c r="G8" s="6" t="inlineStr"/>
      <c r="H8" s="14" t="inlineStr">
        <is>
          <t>Beklemede</t>
        </is>
      </c>
      <c r="I8" s="25" t="inlineStr"/>
      <c r="J8" s="25" t="inlineStr"/>
      <c r="K8" s="25" t="inlineStr"/>
      <c r="L8" s="14" t="inlineStr">
        <is>
          <t>Orta</t>
        </is>
      </c>
      <c r="M8" s="6" t="inlineStr"/>
    </row>
    <row r="9" ht="40" customHeight="1">
      <c r="A9" s="16" t="inlineStr">
        <is>
          <t>C06-006</t>
        </is>
      </c>
      <c r="B9" s="26" t="inlineStr">
        <is>
          <t>C06</t>
        </is>
      </c>
      <c r="C9" s="18" t="inlineStr">
        <is>
          <t>Rate limit (genel API)</t>
        </is>
      </c>
      <c r="D9" s="18" t="inlineStr">
        <is>
          <t>—</t>
        </is>
      </c>
      <c r="E9" s="18" t="inlineStr">
        <is>
          <t>1. Kısa süre çok istek</t>
        </is>
      </c>
      <c r="F9" s="18" t="inlineStr">
        <is>
          <t>429 dönülür.</t>
        </is>
      </c>
      <c r="G9" s="18" t="inlineStr"/>
      <c r="H9" s="16" t="inlineStr">
        <is>
          <t>Beklemede</t>
        </is>
      </c>
      <c r="I9" s="26" t="inlineStr"/>
      <c r="J9" s="26" t="inlineStr"/>
      <c r="K9" s="26" t="inlineStr"/>
      <c r="L9" s="16" t="inlineStr">
        <is>
          <t>Orta</t>
        </is>
      </c>
      <c r="M9" s="18" t="inlineStr"/>
    </row>
    <row r="10" ht="40" customHeight="1">
      <c r="A10" s="14" t="inlineStr">
        <is>
          <t>C06-007</t>
        </is>
      </c>
      <c r="B10" s="25" t="inlineStr">
        <is>
          <t>C06</t>
        </is>
      </c>
      <c r="C10" s="6" t="inlineStr">
        <is>
          <t>Banlı kullanıcı login</t>
        </is>
      </c>
      <c r="D10" s="6" t="inlineStr">
        <is>
          <t>Banlı.</t>
        </is>
      </c>
      <c r="E10" s="6" t="inlineStr">
        <is>
          <t>1. Login dene</t>
        </is>
      </c>
      <c r="F10" s="6" t="inlineStr">
        <is>
          <t>Hesap askıda hatası.</t>
        </is>
      </c>
      <c r="G10" s="6" t="inlineStr"/>
      <c r="H10" s="14" t="inlineStr">
        <is>
          <t>Beklemede</t>
        </is>
      </c>
      <c r="I10" s="25" t="inlineStr"/>
      <c r="J10" s="25" t="inlineStr"/>
      <c r="K10" s="25" t="inlineStr"/>
      <c r="L10" s="14" t="inlineStr">
        <is>
          <t>Orta</t>
        </is>
      </c>
      <c r="M10" s="6" t="inlineStr"/>
    </row>
    <row r="11" ht="40" customHeight="1">
      <c r="A11" s="16" t="inlineStr">
        <is>
          <t>C06-008</t>
        </is>
      </c>
      <c r="B11" s="26" t="inlineStr">
        <is>
          <t>C06</t>
        </is>
      </c>
      <c r="C11" s="18" t="inlineStr">
        <is>
          <t>CORS — yetkisiz origin</t>
        </is>
      </c>
      <c r="D11" s="18" t="inlineStr">
        <is>
          <t>—</t>
        </is>
      </c>
      <c r="E11" s="18" t="inlineStr">
        <is>
          <t>1. evil.com'dan API çağır</t>
        </is>
      </c>
      <c r="F11" s="18" t="inlineStr">
        <is>
          <t>Reddedilir.</t>
        </is>
      </c>
      <c r="G11" s="18" t="inlineStr"/>
      <c r="H11" s="16" t="inlineStr">
        <is>
          <t>Beklemede</t>
        </is>
      </c>
      <c r="I11" s="26" t="inlineStr"/>
      <c r="J11" s="26" t="inlineStr"/>
      <c r="K11" s="26" t="inlineStr"/>
      <c r="L11" s="16" t="inlineStr">
        <is>
          <t>Orta</t>
        </is>
      </c>
      <c r="M11" s="18" t="inlineStr"/>
    </row>
    <row r="12" ht="40" customHeight="1">
      <c r="A12" s="14" t="inlineStr">
        <is>
          <t>C06-009</t>
        </is>
      </c>
      <c r="B12" s="25" t="inlineStr">
        <is>
          <t>C06</t>
        </is>
      </c>
      <c r="C12" s="6" t="inlineStr">
        <is>
          <t>PII maskeleme (loglarda)</t>
        </is>
      </c>
      <c r="D12" s="6" t="inlineStr">
        <is>
          <t>—</t>
        </is>
      </c>
      <c r="E12" s="6" t="inlineStr">
        <is>
          <t>1. Log incele</t>
        </is>
      </c>
      <c r="F12" s="6" t="inlineStr">
        <is>
          <t>E-posta/IBAN/kart maskelenir.</t>
        </is>
      </c>
      <c r="G12" s="6" t="inlineStr"/>
      <c r="H12" s="14" t="inlineStr">
        <is>
          <t>Beklemede</t>
        </is>
      </c>
      <c r="I12" s="25" t="inlineStr"/>
      <c r="J12" s="25" t="inlineStr"/>
      <c r="K12" s="25" t="inlineStr"/>
      <c r="L12" s="14" t="inlineStr">
        <is>
          <t>Orta</t>
        </is>
      </c>
      <c r="M12" s="6" t="inlineStr"/>
    </row>
    <row r="13" ht="40" customHeight="1">
      <c r="A13" s="16" t="inlineStr">
        <is>
          <t>C06-010</t>
        </is>
      </c>
      <c r="B13" s="26" t="inlineStr">
        <is>
          <t>C06</t>
        </is>
      </c>
      <c r="C13" s="18" t="inlineStr">
        <is>
          <t>Cookie'ler Secure + HttpOnly</t>
        </is>
      </c>
      <c r="D13" s="18" t="inlineStr">
        <is>
          <t>—</t>
        </is>
      </c>
      <c r="E13" s="18" t="inlineStr">
        <is>
          <t>1. DevTools → Application</t>
        </is>
      </c>
      <c r="F13" s="18" t="inlineStr">
        <is>
          <t>Auth cookie HttpOnly + Secure flag.</t>
        </is>
      </c>
      <c r="G13" s="18" t="inlineStr"/>
      <c r="H13" s="16" t="inlineStr">
        <is>
          <t>Beklemede</t>
        </is>
      </c>
      <c r="I13" s="26" t="inlineStr"/>
      <c r="J13" s="26" t="inlineStr"/>
      <c r="K13" s="26" t="inlineStr"/>
      <c r="L13" s="16" t="inlineStr">
        <is>
          <t>Orta</t>
        </is>
      </c>
      <c r="M13" s="18" t="inlineStr"/>
    </row>
    <row r="16">
      <c r="A16" s="27" t="inlineStr">
        <is>
          <t>Bu sayfadaki tüm senaryolar test edilmiş ve sonuçlar yukarıda işaretlenmiştir.</t>
        </is>
      </c>
    </row>
    <row r="17">
      <c r="A17" s="28" t="inlineStr">
        <is>
          <t>Test Eden (Tarodan)</t>
        </is>
      </c>
      <c r="D17" s="28" t="inlineStr">
        <is>
          <t>Tarih</t>
        </is>
      </c>
      <c r="G17" s="28" t="inlineStr">
        <is>
          <t>Onaylayan (Müşteri)</t>
        </is>
      </c>
      <c r="J17" s="28" t="inlineStr">
        <is>
          <t>Tarih</t>
        </is>
      </c>
    </row>
    <row r="18">
      <c r="A18" s="7" t="n"/>
      <c r="D18" s="7" t="n"/>
      <c r="G18" s="7" t="n"/>
      <c r="J18" s="7" t="n"/>
    </row>
  </sheetData>
  <mergeCells count="7">
    <mergeCell ref="D18:E18"/>
    <mergeCell ref="A1:M1"/>
    <mergeCell ref="J18:K18"/>
    <mergeCell ref="A2:M2"/>
    <mergeCell ref="A18:B18"/>
    <mergeCell ref="G18:H18"/>
    <mergeCell ref="A16:M16"/>
  </mergeCells>
  <conditionalFormatting sqref="H4:H13">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3" showDropDown="0" showInputMessage="0" showErrorMessage="0" allowBlank="1" errorTitle="Geçersiz değer" error="Lütfen listedeki seçeneklerden birini seçin." type="list">
      <formula1>"Beklemede,Geçti,Kaldı,Bloke,Yapılamadı,N/A"</formula1>
    </dataValidation>
    <dataValidation sqref="L4:L13" showDropDown="0" showInputMessage="0" showErrorMessage="0" allowBlank="1" type="list">
      <formula1>"Kritik,Yüksek,Orta,Düşük"</formula1>
    </dataValidation>
    <dataValidation sqref="K4:K13"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2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C08 — Escrow / Para Release Kuralları (KRİTİK)</t>
        </is>
      </c>
    </row>
    <row r="2" ht="28" customHeight="1">
      <c r="A2" s="24" t="inlineStr">
        <is>
          <t>Kural: Her iki taraf 'teslim aldım' işaretler VE/VEYA 7 gün geçer — hangisi önce gerçekleşirse para satıcıya release edilir. Bu sheet hem siparişler hem takaslar için release davranışını doğrular. İlgili modüller: payment-scheduler, payment.service (PaymentHold), trade.service (confirmReceipt), order.service (confirmDelivery), shipping.worker (delivery → releasePaymentIfHeld).</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8" customHeight="1">
      <c r="A4" s="14" t="inlineStr">
        <is>
          <t>C08-001</t>
        </is>
      </c>
      <c r="B4" s="25" t="inlineStr">
        <is>
          <t>Order Escrow</t>
        </is>
      </c>
      <c r="C4" s="6" t="inlineStr">
        <is>
          <t>SİPARİŞ — Kargo 'delivered' webhook → para anında release</t>
        </is>
      </c>
      <c r="D4" s="6" t="inlineStr">
        <is>
          <t>Sipariş 'shipped'; PaymentHold (held); kargo şirketi delivered eventi gönderiyor.</t>
        </is>
      </c>
      <c r="E4" s="6" t="inlineStr">
        <is>
          <t>1. Kargo webhook'u 'delivered' tetikle (veya manuel sync)
2. PaymentHold tablosunu kontrol et
3. Payout queue'ya bak</t>
        </is>
      </c>
      <c r="F4" s="6" t="inlineStr">
        <is>
          <t>PaymentHold.status='released' anında; PayoutTransfer pending olarak oluşturulur; satıcıya 'ödemeniz hesabınıza geçiyor' bildirimi.</t>
        </is>
      </c>
      <c r="G4" s="6" t="inlineStr"/>
      <c r="H4" s="14" t="inlineStr">
        <is>
          <t>Beklemede</t>
        </is>
      </c>
      <c r="I4" s="25" t="inlineStr"/>
      <c r="J4" s="25" t="inlineStr"/>
      <c r="K4" s="25" t="inlineStr"/>
      <c r="L4" s="14" t="inlineStr">
        <is>
          <t>Kritik</t>
        </is>
      </c>
      <c r="M4" s="6" t="inlineStr"/>
    </row>
    <row r="5" ht="64" customHeight="1">
      <c r="A5" s="16" t="inlineStr">
        <is>
          <t>C08-002</t>
        </is>
      </c>
      <c r="B5" s="26" t="inlineStr">
        <is>
          <t>Order Escrow</t>
        </is>
      </c>
      <c r="C5" s="18" t="inlineStr">
        <is>
          <t>SİPARİŞ — Alıcı 'Teslim Aldım' tıkladı → para anında release (KURAL)</t>
        </is>
      </c>
      <c r="D5" s="18" t="inlineStr">
        <is>
          <t>Sipariş 'delivered' (kargo webhook geldi veya alıcı manuel onayladı); PaymentHold henüz held.</t>
        </is>
      </c>
      <c r="E5" s="18" t="inlineStr">
        <is>
          <t>1. Alıcı /orders/[id] aç
2. 'Teslim Aldım' / 'Siparişi Onayla' butonuna bas
3. Backend: PATCH /orders/:id/confirm-delivery
4. PaymentHold ve PayoutTransfer kayıtlarını kontrol et</t>
        </is>
      </c>
      <c r="F5" s="18" t="inlineStr">
        <is>
          <t>Order.status='completed' OLUR ve PaymentHold.status='released' (anında); +7 gün beklenmez. Payout queue'ya alınır. Satıcıya 'erken release' maili.</t>
        </is>
      </c>
      <c r="G5" s="18" t="inlineStr"/>
      <c r="H5" s="16" t="inlineStr">
        <is>
          <t>Beklemede</t>
        </is>
      </c>
      <c r="I5" s="26" t="inlineStr"/>
      <c r="J5" s="26" t="inlineStr"/>
      <c r="K5" s="26" t="inlineStr"/>
      <c r="L5" s="16" t="inlineStr">
        <is>
          <t>Kritik</t>
        </is>
      </c>
      <c r="M5" s="18" t="inlineStr"/>
    </row>
    <row r="6" ht="40" customHeight="1">
      <c r="A6" s="14" t="inlineStr">
        <is>
          <t>C08-003</t>
        </is>
      </c>
      <c r="B6" s="25" t="inlineStr">
        <is>
          <t>Order Escrow</t>
        </is>
      </c>
      <c r="C6" s="6" t="inlineStr">
        <is>
          <t>SİPARİŞ — Webhook YOK + alıcı onayı YOK → 7 gün sonra otomatik release</t>
        </is>
      </c>
      <c r="D6" s="6" t="inlineStr">
        <is>
          <t>Sipariş ödeme yapıldı, kargo webhook gelmedi, alıcı onaylamadı.</t>
        </is>
      </c>
      <c r="E6" s="6" t="inlineStr">
        <is>
          <t>1. 7 gün geçir / payment-scheduler 'handleReleaseHoldsDue' cron'unu tetikle
2. PaymentHold tablosunu kontrol et</t>
        </is>
      </c>
      <c r="F6" s="6" t="inlineStr">
        <is>
          <t>PaymentHold.releaseAt aşıldığında status='released'; PayoutTransfer oluşturulur.</t>
        </is>
      </c>
      <c r="G6" s="6" t="inlineStr"/>
      <c r="H6" s="14" t="inlineStr">
        <is>
          <t>Beklemede</t>
        </is>
      </c>
      <c r="I6" s="25" t="inlineStr"/>
      <c r="J6" s="25" t="inlineStr"/>
      <c r="K6" s="25" t="inlineStr"/>
      <c r="L6" s="14" t="inlineStr">
        <is>
          <t>Kritik</t>
        </is>
      </c>
      <c r="M6" s="6" t="inlineStr"/>
    </row>
    <row r="7" ht="40" customHeight="1">
      <c r="A7" s="16" t="inlineStr">
        <is>
          <t>C08-004</t>
        </is>
      </c>
      <c r="B7" s="26" t="inlineStr">
        <is>
          <t>Order Escrow</t>
        </is>
      </c>
      <c r="C7" s="18" t="inlineStr">
        <is>
          <t>SİPARİŞ — Webhook YOK ama alıcı 3. günde 'Teslim Aldım' (KURAL)</t>
        </is>
      </c>
      <c r="D7" s="18" t="inlineStr">
        <is>
          <t>Webhook hiç gelmedi; alıcı manuel onaylıyor.</t>
        </is>
      </c>
      <c r="E7" s="18" t="inlineStr">
        <is>
          <t>1. 3. günde alıcı 'Teslim Aldım' butonuna bas</t>
        </is>
      </c>
      <c r="F7" s="18" t="inlineStr">
        <is>
          <t>Para 3. günde release edilir (7 gün beklenmez). 'Hangisi önce' kuralı işler.</t>
        </is>
      </c>
      <c r="G7" s="18" t="inlineStr"/>
      <c r="H7" s="16" t="inlineStr">
        <is>
          <t>Beklemede</t>
        </is>
      </c>
      <c r="I7" s="26" t="inlineStr"/>
      <c r="J7" s="26" t="inlineStr"/>
      <c r="K7" s="26" t="inlineStr"/>
      <c r="L7" s="16" t="inlineStr">
        <is>
          <t>Kritik</t>
        </is>
      </c>
      <c r="M7" s="18" t="inlineStr"/>
    </row>
    <row r="8" ht="40" customHeight="1">
      <c r="A8" s="14" t="inlineStr">
        <is>
          <t>C08-005</t>
        </is>
      </c>
      <c r="B8" s="25" t="inlineStr">
        <is>
          <t>Order Escrow</t>
        </is>
      </c>
      <c r="C8" s="6" t="inlineStr">
        <is>
          <t>SİPARİŞ — Erken release maili</t>
        </is>
      </c>
      <c r="D8" s="6" t="inlineStr">
        <is>
          <t>Alıcı onayı veya webhook ile erken release.</t>
        </is>
      </c>
      <c r="E8" s="6" t="inlineStr">
        <is>
          <t>1. Mail kontrolü</t>
        </is>
      </c>
      <c r="F8" s="6" t="inlineStr">
        <is>
          <t>Satıcıya 'Ödemeniz erken release edildi (alıcı teslimatı onayladı)' bildirimi gider.</t>
        </is>
      </c>
      <c r="G8" s="6" t="inlineStr"/>
      <c r="H8" s="14" t="inlineStr">
        <is>
          <t>Beklemede</t>
        </is>
      </c>
      <c r="I8" s="25" t="inlineStr"/>
      <c r="J8" s="25" t="inlineStr"/>
      <c r="K8" s="25" t="inlineStr"/>
      <c r="L8" s="14" t="inlineStr">
        <is>
          <t>Orta</t>
        </is>
      </c>
      <c r="M8" s="6" t="inlineStr"/>
    </row>
    <row r="9" ht="40" customHeight="1">
      <c r="A9" s="16" t="inlineStr">
        <is>
          <t>C08-006</t>
        </is>
      </c>
      <c r="B9" s="26" t="inlineStr">
        <is>
          <t>Order Escrow</t>
        </is>
      </c>
      <c r="C9" s="18" t="inlineStr">
        <is>
          <t>SİPARİŞ — İade talebi açıkken release engellenir</t>
        </is>
      </c>
      <c r="D9" s="18" t="inlineStr">
        <is>
          <t>Sipariş delivered + RefundRequest pending.</t>
        </is>
      </c>
      <c r="E9" s="18" t="inlineStr">
        <is>
          <t>1. Cron tetiklenir veya alıcı onay tıklar</t>
        </is>
      </c>
      <c r="F9" s="18" t="inlineStr">
        <is>
          <t>Para release EDİLMEZ (iade çözülene kadar bekler).</t>
        </is>
      </c>
      <c r="G9" s="18" t="inlineStr"/>
      <c r="H9" s="16" t="inlineStr">
        <is>
          <t>Beklemede</t>
        </is>
      </c>
      <c r="I9" s="26" t="inlineStr"/>
      <c r="J9" s="26" t="inlineStr"/>
      <c r="K9" s="26" t="inlineStr"/>
      <c r="L9" s="16" t="inlineStr">
        <is>
          <t>Kritik</t>
        </is>
      </c>
      <c r="M9" s="18" t="inlineStr"/>
    </row>
    <row r="10" ht="40" customHeight="1">
      <c r="A10" s="14" t="inlineStr">
        <is>
          <t>C08-007</t>
        </is>
      </c>
      <c r="B10" s="25" t="inlineStr">
        <is>
          <t>Order Escrow</t>
        </is>
      </c>
      <c r="C10" s="6" t="inlineStr">
        <is>
          <t>SİPARİŞ — Çift release koruması</t>
        </is>
      </c>
      <c r="D10" s="6" t="inlineStr">
        <is>
          <t>Bir kez release edilmiş PaymentHold.</t>
        </is>
      </c>
      <c r="E10" s="6" t="inlineStr">
        <is>
          <t>1. Aynı sipariş için release tetikleme tekrar deneme</t>
        </is>
      </c>
      <c r="F10" s="6" t="inlineStr">
        <is>
          <t>İkinci release çağrısı no-op; tek payout kaydı oluşur. Idempotency korumalı.</t>
        </is>
      </c>
      <c r="G10" s="6" t="inlineStr"/>
      <c r="H10" s="14" t="inlineStr">
        <is>
          <t>Beklemede</t>
        </is>
      </c>
      <c r="I10" s="25" t="inlineStr"/>
      <c r="J10" s="25" t="inlineStr"/>
      <c r="K10" s="25" t="inlineStr"/>
      <c r="L10" s="14" t="inlineStr">
        <is>
          <t>Orta</t>
        </is>
      </c>
      <c r="M10" s="6" t="inlineStr"/>
    </row>
    <row r="11" ht="40" customHeight="1">
      <c r="A11" s="16" t="inlineStr">
        <is>
          <t>C08-008</t>
        </is>
      </c>
      <c r="B11" s="26" t="inlineStr">
        <is>
          <t>Order Escrow</t>
        </is>
      </c>
      <c r="C11" s="18" t="inlineStr">
        <is>
          <t>SİPARİŞ — Banka hesabı eksikse release sonrası payout failed</t>
        </is>
      </c>
      <c r="D11" s="18" t="inlineStr">
        <is>
          <t>Hold released, satıcının IBAN'ı yok.</t>
        </is>
      </c>
      <c r="E11" s="18" t="inlineStr">
        <is>
          <t>1. Payout cron'u bekle</t>
        </is>
      </c>
      <c r="F11" s="18" t="inlineStr">
        <is>
          <t>PayoutTransfer.status='failed' (no_bank_account); satıcıya uyarı; nextRetryAt set.</t>
        </is>
      </c>
      <c r="G11" s="18" t="inlineStr"/>
      <c r="H11" s="16" t="inlineStr">
        <is>
          <t>Beklemede</t>
        </is>
      </c>
      <c r="I11" s="26" t="inlineStr"/>
      <c r="J11" s="26" t="inlineStr"/>
      <c r="K11" s="26" t="inlineStr"/>
      <c r="L11" s="16" t="inlineStr">
        <is>
          <t>Orta</t>
        </is>
      </c>
      <c r="M11" s="18" t="inlineStr"/>
    </row>
    <row r="12" ht="48" customHeight="1">
      <c r="A12" s="14" t="inlineStr">
        <is>
          <t>C08-009</t>
        </is>
      </c>
      <c r="B12" s="25" t="inlineStr">
        <is>
          <t>Trade Escrow</t>
        </is>
      </c>
      <c r="C12" s="6" t="inlineStr">
        <is>
          <t>TAKAS — Her iki taraf 'Teslim Aldım' → para anında release (KURAL)</t>
        </is>
      </c>
      <c r="D12" s="6" t="inlineStr">
        <is>
          <t>Takas 'shipped'; iki tarafa kargo teslim oldu; cash diff var.</t>
        </is>
      </c>
      <c r="E12" s="6" t="inlineStr">
        <is>
          <t>1. Taraf A: confirmReceipt çağır
2. Taraf B: confirmReceipt çağır
3. TradeCashPayment.holdReleaseAt ve status'ü kontrol et</t>
        </is>
      </c>
      <c r="F12" s="6" t="inlineStr">
        <is>
          <t>Trade.status='completed' VE TradeCashPayment release ANINDA gerçekleşir (+7 gün hold EKLENMEZ).</t>
        </is>
      </c>
      <c r="G12" s="6" t="inlineStr"/>
      <c r="H12" s="14" t="inlineStr">
        <is>
          <t>Beklemede</t>
        </is>
      </c>
      <c r="I12" s="25" t="inlineStr"/>
      <c r="J12" s="25" t="inlineStr"/>
      <c r="K12" s="25" t="inlineStr"/>
      <c r="L12" s="14" t="inlineStr">
        <is>
          <t>Kritik</t>
        </is>
      </c>
      <c r="M12" s="6" t="inlineStr"/>
    </row>
    <row r="13" ht="40" customHeight="1">
      <c r="A13" s="16" t="inlineStr">
        <is>
          <t>C08-010</t>
        </is>
      </c>
      <c r="B13" s="26" t="inlineStr">
        <is>
          <t>Trade Escrow</t>
        </is>
      </c>
      <c r="C13" s="18" t="inlineStr">
        <is>
          <t>TAKAS — Tek taraf onayladı, diğeri yok → 3 gün auto-confirm</t>
        </is>
      </c>
      <c r="D13" s="18" t="inlineStr">
        <is>
          <t>Bir taraf confirm, diğeri yok.</t>
        </is>
      </c>
      <c r="E13" s="18" t="inlineStr">
        <is>
          <t>1. 3 gün geçir; trade-scheduler 'autoConfirmExpiredReceipts' tetiklensin</t>
        </is>
      </c>
      <c r="F13" s="18" t="inlineStr">
        <is>
          <t>Eksik tarafın onayı otomatik gerçekleşir; trade completed; cash release ANINDA (kuralı uygula).</t>
        </is>
      </c>
      <c r="G13" s="18" t="inlineStr"/>
      <c r="H13" s="16" t="inlineStr">
        <is>
          <t>Beklemede</t>
        </is>
      </c>
      <c r="I13" s="26" t="inlineStr"/>
      <c r="J13" s="26" t="inlineStr"/>
      <c r="K13" s="26" t="inlineStr"/>
      <c r="L13" s="16" t="inlineStr">
        <is>
          <t>Orta</t>
        </is>
      </c>
      <c r="M13" s="18" t="inlineStr"/>
    </row>
    <row r="14" ht="40" customHeight="1">
      <c r="A14" s="14" t="inlineStr">
        <is>
          <t>C08-011</t>
        </is>
      </c>
      <c r="B14" s="25" t="inlineStr">
        <is>
          <t>Trade Escrow</t>
        </is>
      </c>
      <c r="C14" s="6" t="inlineStr">
        <is>
          <t>TAKAS — Webhook YOK, hiç onay YOK → 7 gün sonra otomatik release</t>
        </is>
      </c>
      <c r="D14" s="6" t="inlineStr">
        <is>
          <t>İki taraf da onaylamadı, hiç tetikleyici yok.</t>
        </is>
      </c>
      <c r="E14" s="6" t="inlineStr">
        <is>
          <t>1. 7 gün geçir / cron tetikle</t>
        </is>
      </c>
      <c r="F14" s="6" t="inlineStr">
        <is>
          <t>Cash payment release edilir (max bekleme süresi tamamlandı).</t>
        </is>
      </c>
      <c r="G14" s="6" t="inlineStr"/>
      <c r="H14" s="14" t="inlineStr">
        <is>
          <t>Beklemede</t>
        </is>
      </c>
      <c r="I14" s="25" t="inlineStr"/>
      <c r="J14" s="25" t="inlineStr"/>
      <c r="K14" s="25" t="inlineStr"/>
      <c r="L14" s="14" t="inlineStr">
        <is>
          <t>Kritik</t>
        </is>
      </c>
      <c r="M14" s="6" t="inlineStr"/>
    </row>
    <row r="15" ht="40" customHeight="1">
      <c r="A15" s="16" t="inlineStr">
        <is>
          <t>C08-012</t>
        </is>
      </c>
      <c r="B15" s="26" t="inlineStr">
        <is>
          <t>Trade Escrow</t>
        </is>
      </c>
      <c r="C15" s="18" t="inlineStr">
        <is>
          <t>TAKAS — Anlaşmazlık (dispute) açıldığında release engellenir</t>
        </is>
      </c>
      <c r="D15" s="18" t="inlineStr">
        <is>
          <t>Takas 'disputed'.</t>
        </is>
      </c>
      <c r="E15" s="18" t="inlineStr">
        <is>
          <t>1. Cron tetiklenir veya bir taraf confirm dener</t>
        </is>
      </c>
      <c r="F15" s="18" t="inlineStr">
        <is>
          <t>Cash hold release EDİLMEZ; admin çözümleyene kadar bekler.</t>
        </is>
      </c>
      <c r="G15" s="18" t="inlineStr"/>
      <c r="H15" s="16" t="inlineStr">
        <is>
          <t>Beklemede</t>
        </is>
      </c>
      <c r="I15" s="26" t="inlineStr"/>
      <c r="J15" s="26" t="inlineStr"/>
      <c r="K15" s="26" t="inlineStr"/>
      <c r="L15" s="16" t="inlineStr">
        <is>
          <t>Kritik</t>
        </is>
      </c>
      <c r="M15" s="18" t="inlineStr"/>
    </row>
    <row r="16" ht="40" customHeight="1">
      <c r="A16" s="14" t="inlineStr">
        <is>
          <t>C08-013</t>
        </is>
      </c>
      <c r="B16" s="25" t="inlineStr">
        <is>
          <t>Trade Escrow</t>
        </is>
      </c>
      <c r="C16" s="6" t="inlineStr">
        <is>
          <t>TAKAS — İptal/red durumunda cash refund</t>
        </is>
      </c>
      <c r="D16" s="6" t="inlineStr">
        <is>
          <t>Cash diff'li takas iptal edildi.</t>
        </is>
      </c>
      <c r="E16" s="6" t="inlineStr">
        <is>
          <t>1. Cancel akışı</t>
        </is>
      </c>
      <c r="F16" s="6" t="inlineStr">
        <is>
          <t>TradeCashPayment.status='refunded'; alıcıya PayTR refund.</t>
        </is>
      </c>
      <c r="G16" s="6" t="inlineStr"/>
      <c r="H16" s="14" t="inlineStr">
        <is>
          <t>Beklemede</t>
        </is>
      </c>
      <c r="I16" s="25" t="inlineStr"/>
      <c r="J16" s="25" t="inlineStr"/>
      <c r="K16" s="25" t="inlineStr"/>
      <c r="L16" s="14" t="inlineStr">
        <is>
          <t>Orta</t>
        </is>
      </c>
      <c r="M16" s="6" t="inlineStr"/>
    </row>
    <row r="17" ht="40" customHeight="1">
      <c r="A17" s="16" t="inlineStr">
        <is>
          <t>C08-014</t>
        </is>
      </c>
      <c r="B17" s="26" t="inlineStr">
        <is>
          <t>Trade Escrow</t>
        </is>
      </c>
      <c r="C17" s="18" t="inlineStr">
        <is>
          <t>TAKAS — Erken release maili</t>
        </is>
      </c>
      <c r="D17" s="18" t="inlineStr">
        <is>
          <t>İki taraf onayı sonrası release.</t>
        </is>
      </c>
      <c r="E17" s="18" t="inlineStr">
        <is>
          <t>1. Mail kontrol</t>
        </is>
      </c>
      <c r="F17" s="18" t="inlineStr">
        <is>
          <t>Hak sahibine 'cash diff hesabınıza geçiyor' bildirimi gider.</t>
        </is>
      </c>
      <c r="G17" s="18" t="inlineStr"/>
      <c r="H17" s="16" t="inlineStr">
        <is>
          <t>Beklemede</t>
        </is>
      </c>
      <c r="I17" s="26" t="inlineStr"/>
      <c r="J17" s="26" t="inlineStr"/>
      <c r="K17" s="26" t="inlineStr"/>
      <c r="L17" s="16" t="inlineStr">
        <is>
          <t>Orta</t>
        </is>
      </c>
      <c r="M17" s="18" t="inlineStr"/>
    </row>
    <row r="18" ht="40" customHeight="1">
      <c r="A18" s="14" t="inlineStr">
        <is>
          <t>C08-015</t>
        </is>
      </c>
      <c r="B18" s="25" t="inlineStr">
        <is>
          <t>Escrow Config</t>
        </is>
      </c>
      <c r="C18" s="6" t="inlineStr">
        <is>
          <t>Hold süresi (PAYMENT_HOLD_DAYS) konfigüre edilebilir</t>
        </is>
      </c>
      <c r="D18" s="6" t="inlineStr">
        <is>
          <t>Env / settings.</t>
        </is>
      </c>
      <c r="E18" s="6" t="inlineStr">
        <is>
          <t>1. Değeri 5 yap, yeni sipariş oluştur
2. PaymentHold.releaseAt'i kontrol et</t>
        </is>
      </c>
      <c r="F18" s="6" t="inlineStr">
        <is>
          <t>releaseAt = now + 5 gün.</t>
        </is>
      </c>
      <c r="G18" s="6" t="inlineStr"/>
      <c r="H18" s="14" t="inlineStr">
        <is>
          <t>Beklemede</t>
        </is>
      </c>
      <c r="I18" s="25" t="inlineStr"/>
      <c r="J18" s="25" t="inlineStr"/>
      <c r="K18" s="25" t="inlineStr"/>
      <c r="L18" s="14" t="inlineStr">
        <is>
          <t>Orta</t>
        </is>
      </c>
      <c r="M18" s="6" t="inlineStr"/>
    </row>
    <row r="19" ht="40" customHeight="1">
      <c r="A19" s="16" t="inlineStr">
        <is>
          <t>C08-016</t>
        </is>
      </c>
      <c r="B19" s="26" t="inlineStr">
        <is>
          <t>Escrow Admin</t>
        </is>
      </c>
      <c r="C19" s="18" t="inlineStr">
        <is>
          <t>Admin manuel hold release</t>
        </is>
      </c>
      <c r="D19" s="18" t="inlineStr">
        <is>
          <t>Held PaymentHold.</t>
        </is>
      </c>
      <c r="E19" s="18" t="inlineStr">
        <is>
          <t>1. Admin panelinden 'Manuel Release' butonu</t>
        </is>
      </c>
      <c r="F19" s="18" t="inlineStr">
        <is>
          <t>Hold release edilir; audit log düşer; satıcıya bilgi (varsa).</t>
        </is>
      </c>
      <c r="G19" s="18" t="inlineStr"/>
      <c r="H19" s="16" t="inlineStr">
        <is>
          <t>Beklemede</t>
        </is>
      </c>
      <c r="I19" s="26" t="inlineStr"/>
      <c r="J19" s="26" t="inlineStr"/>
      <c r="K19" s="26" t="inlineStr"/>
      <c r="L19" s="16" t="inlineStr">
        <is>
          <t>Orta</t>
        </is>
      </c>
      <c r="M19" s="18" t="inlineStr"/>
    </row>
    <row r="20" ht="40" customHeight="1">
      <c r="A20" s="14" t="inlineStr">
        <is>
          <t>C08-017</t>
        </is>
      </c>
      <c r="B20" s="25" t="inlineStr">
        <is>
          <t>Escrow Admin</t>
        </is>
      </c>
      <c r="C20" s="6" t="inlineStr">
        <is>
          <t>Admin manuel hold uzatma (dispute süresince)</t>
        </is>
      </c>
      <c r="D20" s="6" t="inlineStr">
        <is>
          <t>—</t>
        </is>
      </c>
      <c r="E20" s="6" t="inlineStr">
        <is>
          <t>1. Hold süresini uzatma aksiyonu</t>
        </is>
      </c>
      <c r="F20" s="6" t="inlineStr">
        <is>
          <t>releaseAt güncellenir; cron yeni süreye uyar (varsa).</t>
        </is>
      </c>
      <c r="G20" s="6" t="inlineStr"/>
      <c r="H20" s="14" t="inlineStr">
        <is>
          <t>Beklemede</t>
        </is>
      </c>
      <c r="I20" s="25" t="inlineStr"/>
      <c r="J20" s="25" t="inlineStr"/>
      <c r="K20" s="25" t="inlineStr"/>
      <c r="L20" s="14" t="inlineStr">
        <is>
          <t>Orta</t>
        </is>
      </c>
      <c r="M20" s="6" t="inlineStr"/>
    </row>
    <row r="21" ht="40" customHeight="1">
      <c r="A21" s="16" t="inlineStr">
        <is>
          <t>C08-018</t>
        </is>
      </c>
      <c r="B21" s="26" t="inlineStr">
        <is>
          <t>Escrow Admin</t>
        </is>
      </c>
      <c r="C21" s="18" t="inlineStr">
        <is>
          <t>Released hold için audit log</t>
        </is>
      </c>
      <c r="D21" s="18" t="inlineStr">
        <is>
          <t>—</t>
        </is>
      </c>
      <c r="E21" s="18" t="inlineStr">
        <is>
          <t>1. Audit log'u incele</t>
        </is>
      </c>
      <c r="F21" s="18" t="inlineStr">
        <is>
          <t>Release tetikleyicisi (manuel/auto/webhook), tutar, zaman, sipariş/takas referansı kayıtlı.</t>
        </is>
      </c>
      <c r="G21" s="18" t="inlineStr"/>
      <c r="H21" s="16" t="inlineStr">
        <is>
          <t>Beklemede</t>
        </is>
      </c>
      <c r="I21" s="26" t="inlineStr"/>
      <c r="J21" s="26" t="inlineStr"/>
      <c r="K21" s="26" t="inlineStr"/>
      <c r="L21" s="16" t="inlineStr">
        <is>
          <t>Orta</t>
        </is>
      </c>
      <c r="M21" s="18" t="inlineStr"/>
    </row>
    <row r="24">
      <c r="A24" s="27" t="inlineStr">
        <is>
          <t>Bu sayfadaki tüm senaryolar test edilmiş ve sonuçlar yukarıda işaretlenmiştir.</t>
        </is>
      </c>
    </row>
    <row r="25">
      <c r="A25" s="28" t="inlineStr">
        <is>
          <t>Test Eden (Tarodan)</t>
        </is>
      </c>
      <c r="D25" s="28" t="inlineStr">
        <is>
          <t>Tarih</t>
        </is>
      </c>
      <c r="G25" s="28" t="inlineStr">
        <is>
          <t>Onaylayan (Müşteri)</t>
        </is>
      </c>
      <c r="J25" s="28" t="inlineStr">
        <is>
          <t>Tarih</t>
        </is>
      </c>
    </row>
    <row r="26">
      <c r="A26" s="7" t="n"/>
      <c r="D26" s="7" t="n"/>
      <c r="G26" s="7" t="n"/>
      <c r="J26" s="7" t="n"/>
    </row>
  </sheetData>
  <mergeCells count="7">
    <mergeCell ref="A26:B26"/>
    <mergeCell ref="A1:M1"/>
    <mergeCell ref="D26:E26"/>
    <mergeCell ref="A24:M24"/>
    <mergeCell ref="A2:M2"/>
    <mergeCell ref="G26:H26"/>
    <mergeCell ref="J26:K26"/>
  </mergeCells>
  <conditionalFormatting sqref="H4:H2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21" showDropDown="0" showInputMessage="0" showErrorMessage="0" allowBlank="1" errorTitle="Geçersiz değer" error="Lütfen listedeki seçeneklerden birini seçin." type="list">
      <formula1>"Beklemede,Geçti,Kaldı,Bloke,Yapılamadı,N/A"</formula1>
    </dataValidation>
    <dataValidation sqref="L4:L21" showDropDown="0" showInputMessage="0" showErrorMessage="0" allowBlank="1" type="list">
      <formula1>"Kritik,Yüksek,Orta,Düşük"</formula1>
    </dataValidation>
    <dataValidation sqref="K4:K2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6" customWidth="1" min="3" max="3"/>
    <col width="28" customWidth="1" min="4" max="4"/>
    <col width="50" customWidth="1" min="5" max="5"/>
    <col width="38" customWidth="1" min="6" max="6"/>
    <col width="30" customWidth="1" min="7" max="7"/>
    <col width="12" customWidth="1" min="8" max="8"/>
    <col width="14" customWidth="1" min="9" max="9"/>
    <col width="13" customWidth="1" min="10" max="10"/>
    <col width="16" customWidth="1" min="11" max="11"/>
    <col width="10" customWidth="1" min="12" max="12"/>
    <col width="28" customWidth="1" min="13" max="13"/>
  </cols>
  <sheetData>
    <row r="1" ht="38" customHeight="1">
      <c r="A1" s="12" t="inlineStr">
        <is>
          <t>C07 — Tarayıcı ve Cihaz Uyum Matrisi</t>
        </is>
      </c>
    </row>
    <row r="2" ht="28" customHeight="1">
      <c r="A2" s="24" t="inlineStr">
        <is>
          <t>Chrome, Safari, Firefox, Edge — desktop &amp; mobile.</t>
        </is>
      </c>
    </row>
    <row r="3" ht="36" customHeight="1">
      <c r="A3" s="13" t="inlineStr">
        <is>
          <t>Test ID</t>
        </is>
      </c>
      <c r="B3" s="13" t="inlineStr">
        <is>
          <t>Modül / Sayfa</t>
        </is>
      </c>
      <c r="C3" s="13" t="inlineStr">
        <is>
          <t>Senaryo / Test Adı</t>
        </is>
      </c>
      <c r="D3" s="13" t="inlineStr">
        <is>
          <t>Önkoşullar</t>
        </is>
      </c>
      <c r="E3" s="13" t="inlineStr">
        <is>
          <t>Adımlar (numaralı)</t>
        </is>
      </c>
      <c r="F3" s="13" t="inlineStr">
        <is>
          <t>Beklenen Sonuç</t>
        </is>
      </c>
      <c r="G3" s="13" t="inlineStr">
        <is>
          <t>Gerçek Sonuç</t>
        </is>
      </c>
      <c r="H3" s="13" t="inlineStr">
        <is>
          <t>Durum</t>
        </is>
      </c>
      <c r="I3" s="13" t="inlineStr">
        <is>
          <t>Test Eden</t>
        </is>
      </c>
      <c r="J3" s="13" t="inlineStr">
        <is>
          <t>Test Tarihi</t>
        </is>
      </c>
      <c r="K3" s="13" t="inlineStr">
        <is>
          <t>Tarayıcı / Cihaz</t>
        </is>
      </c>
      <c r="L3" s="13" t="inlineStr">
        <is>
          <t>Öncelik</t>
        </is>
      </c>
      <c r="M3" s="13" t="inlineStr">
        <is>
          <t>Notlar / Hata Linki</t>
        </is>
      </c>
    </row>
    <row r="4" ht="40" customHeight="1">
      <c r="A4" s="14" t="inlineStr">
        <is>
          <t>C07-001</t>
        </is>
      </c>
      <c r="B4" s="25" t="inlineStr">
        <is>
          <t>C07</t>
        </is>
      </c>
      <c r="C4" s="6" t="inlineStr">
        <is>
          <t>Chrome Desktop — happy path</t>
        </is>
      </c>
      <c r="D4" s="6" t="inlineStr">
        <is>
          <t>—</t>
        </is>
      </c>
      <c r="E4" s="6" t="inlineStr">
        <is>
          <t>1. Tüm temel akışları çalıştır</t>
        </is>
      </c>
      <c r="F4" s="6" t="inlineStr">
        <is>
          <t>Sorunsuz.</t>
        </is>
      </c>
      <c r="G4" s="6" t="inlineStr"/>
      <c r="H4" s="14" t="inlineStr">
        <is>
          <t>Beklemede</t>
        </is>
      </c>
      <c r="I4" s="25" t="inlineStr"/>
      <c r="J4" s="25" t="inlineStr"/>
      <c r="K4" s="25" t="inlineStr"/>
      <c r="L4" s="14" t="inlineStr">
        <is>
          <t>Orta</t>
        </is>
      </c>
      <c r="M4" s="6" t="inlineStr"/>
    </row>
    <row r="5" ht="40" customHeight="1">
      <c r="A5" s="16" t="inlineStr">
        <is>
          <t>C07-002</t>
        </is>
      </c>
      <c r="B5" s="26" t="inlineStr">
        <is>
          <t>C07</t>
        </is>
      </c>
      <c r="C5" s="18" t="inlineStr">
        <is>
          <t>Safari Desktop</t>
        </is>
      </c>
      <c r="D5" s="18" t="inlineStr">
        <is>
          <t>—</t>
        </is>
      </c>
      <c r="E5" s="18" t="inlineStr">
        <is>
          <t>1. Aynı</t>
        </is>
      </c>
      <c r="F5" s="18" t="inlineStr">
        <is>
          <t>Sorunsuz.</t>
        </is>
      </c>
      <c r="G5" s="18" t="inlineStr"/>
      <c r="H5" s="16" t="inlineStr">
        <is>
          <t>Beklemede</t>
        </is>
      </c>
      <c r="I5" s="26" t="inlineStr"/>
      <c r="J5" s="26" t="inlineStr"/>
      <c r="K5" s="26" t="inlineStr"/>
      <c r="L5" s="16" t="inlineStr">
        <is>
          <t>Orta</t>
        </is>
      </c>
      <c r="M5" s="18" t="inlineStr"/>
    </row>
    <row r="6" ht="40" customHeight="1">
      <c r="A6" s="14" t="inlineStr">
        <is>
          <t>C07-003</t>
        </is>
      </c>
      <c r="B6" s="25" t="inlineStr">
        <is>
          <t>C07</t>
        </is>
      </c>
      <c r="C6" s="6" t="inlineStr">
        <is>
          <t>Firefox Desktop</t>
        </is>
      </c>
      <c r="D6" s="6" t="inlineStr">
        <is>
          <t>—</t>
        </is>
      </c>
      <c r="E6" s="6" t="inlineStr">
        <is>
          <t>1. Aynı</t>
        </is>
      </c>
      <c r="F6" s="6" t="inlineStr">
        <is>
          <t>Sorunsuz.</t>
        </is>
      </c>
      <c r="G6" s="6" t="inlineStr"/>
      <c r="H6" s="14" t="inlineStr">
        <is>
          <t>Beklemede</t>
        </is>
      </c>
      <c r="I6" s="25" t="inlineStr"/>
      <c r="J6" s="25" t="inlineStr"/>
      <c r="K6" s="25" t="inlineStr"/>
      <c r="L6" s="14" t="inlineStr">
        <is>
          <t>Orta</t>
        </is>
      </c>
      <c r="M6" s="6" t="inlineStr"/>
    </row>
    <row r="7" ht="40" customHeight="1">
      <c r="A7" s="16" t="inlineStr">
        <is>
          <t>C07-004</t>
        </is>
      </c>
      <c r="B7" s="26" t="inlineStr">
        <is>
          <t>C07</t>
        </is>
      </c>
      <c r="C7" s="18" t="inlineStr">
        <is>
          <t>Edge Desktop</t>
        </is>
      </c>
      <c r="D7" s="18" t="inlineStr">
        <is>
          <t>—</t>
        </is>
      </c>
      <c r="E7" s="18" t="inlineStr">
        <is>
          <t>1. Aynı</t>
        </is>
      </c>
      <c r="F7" s="18" t="inlineStr">
        <is>
          <t>Sorunsuz.</t>
        </is>
      </c>
      <c r="G7" s="18" t="inlineStr"/>
      <c r="H7" s="16" t="inlineStr">
        <is>
          <t>Beklemede</t>
        </is>
      </c>
      <c r="I7" s="26" t="inlineStr"/>
      <c r="J7" s="26" t="inlineStr"/>
      <c r="K7" s="26" t="inlineStr"/>
      <c r="L7" s="16" t="inlineStr">
        <is>
          <t>Orta</t>
        </is>
      </c>
      <c r="M7" s="18" t="inlineStr"/>
    </row>
    <row r="8" ht="40" customHeight="1">
      <c r="A8" s="14" t="inlineStr">
        <is>
          <t>C07-005</t>
        </is>
      </c>
      <c r="B8" s="25" t="inlineStr">
        <is>
          <t>C07</t>
        </is>
      </c>
      <c r="C8" s="6" t="inlineStr">
        <is>
          <t>iOS Safari (mobil)</t>
        </is>
      </c>
      <c r="D8" s="6" t="inlineStr">
        <is>
          <t>—</t>
        </is>
      </c>
      <c r="E8" s="6" t="inlineStr">
        <is>
          <t>1. Sepet, checkout, ödeme</t>
        </is>
      </c>
      <c r="F8" s="6" t="inlineStr">
        <is>
          <t>Sorunsuz; klavye uygun.</t>
        </is>
      </c>
      <c r="G8" s="6" t="inlineStr"/>
      <c r="H8" s="14" t="inlineStr">
        <is>
          <t>Beklemede</t>
        </is>
      </c>
      <c r="I8" s="25" t="inlineStr"/>
      <c r="J8" s="25" t="inlineStr"/>
      <c r="K8" s="25" t="inlineStr"/>
      <c r="L8" s="14" t="inlineStr">
        <is>
          <t>Orta</t>
        </is>
      </c>
      <c r="M8" s="6" t="inlineStr"/>
    </row>
    <row r="9" ht="40" customHeight="1">
      <c r="A9" s="16" t="inlineStr">
        <is>
          <t>C07-006</t>
        </is>
      </c>
      <c r="B9" s="26" t="inlineStr">
        <is>
          <t>C07</t>
        </is>
      </c>
      <c r="C9" s="18" t="inlineStr">
        <is>
          <t>Android Chrome (mobil)</t>
        </is>
      </c>
      <c r="D9" s="18" t="inlineStr">
        <is>
          <t>—</t>
        </is>
      </c>
      <c r="E9" s="18" t="inlineStr">
        <is>
          <t>1. Aynı</t>
        </is>
      </c>
      <c r="F9" s="18" t="inlineStr">
        <is>
          <t>Sorunsuz.</t>
        </is>
      </c>
      <c r="G9" s="18" t="inlineStr"/>
      <c r="H9" s="16" t="inlineStr">
        <is>
          <t>Beklemede</t>
        </is>
      </c>
      <c r="I9" s="26" t="inlineStr"/>
      <c r="J9" s="26" t="inlineStr"/>
      <c r="K9" s="26" t="inlineStr"/>
      <c r="L9" s="16" t="inlineStr">
        <is>
          <t>Orta</t>
        </is>
      </c>
      <c r="M9" s="18" t="inlineStr"/>
    </row>
    <row r="10" ht="40" customHeight="1">
      <c r="A10" s="14" t="inlineStr">
        <is>
          <t>C07-007</t>
        </is>
      </c>
      <c r="B10" s="25" t="inlineStr">
        <is>
          <t>C07</t>
        </is>
      </c>
      <c r="C10" s="6" t="inlineStr">
        <is>
          <t>Tablet (iPad/Android)</t>
        </is>
      </c>
      <c r="D10" s="6" t="inlineStr">
        <is>
          <t>—</t>
        </is>
      </c>
      <c r="E10" s="6" t="inlineStr">
        <is>
          <t>1. Layout incele</t>
        </is>
      </c>
      <c r="F10" s="6" t="inlineStr">
        <is>
          <t>Düzgün grid.</t>
        </is>
      </c>
      <c r="G10" s="6" t="inlineStr"/>
      <c r="H10" s="14" t="inlineStr">
        <is>
          <t>Beklemede</t>
        </is>
      </c>
      <c r="I10" s="25" t="inlineStr"/>
      <c r="J10" s="25" t="inlineStr"/>
      <c r="K10" s="25" t="inlineStr"/>
      <c r="L10" s="14" t="inlineStr">
        <is>
          <t>Orta</t>
        </is>
      </c>
      <c r="M10" s="6" t="inlineStr"/>
    </row>
    <row r="11" ht="40" customHeight="1">
      <c r="A11" s="16" t="inlineStr">
        <is>
          <t>C07-008</t>
        </is>
      </c>
      <c r="B11" s="26" t="inlineStr">
        <is>
          <t>C07</t>
        </is>
      </c>
      <c r="C11" s="18" t="inlineStr">
        <is>
          <t>Eski tarayıcı (Chrome -3 versiyon)</t>
        </is>
      </c>
      <c r="D11" s="18" t="inlineStr">
        <is>
          <t>—</t>
        </is>
      </c>
      <c r="E11" s="18" t="inlineStr">
        <is>
          <t>1. Çalıştır</t>
        </is>
      </c>
      <c r="F11" s="18" t="inlineStr">
        <is>
          <t>Çalışır veya graceful uyarı.</t>
        </is>
      </c>
      <c r="G11" s="18" t="inlineStr"/>
      <c r="H11" s="16" t="inlineStr">
        <is>
          <t>Beklemede</t>
        </is>
      </c>
      <c r="I11" s="26" t="inlineStr"/>
      <c r="J11" s="26" t="inlineStr"/>
      <c r="K11" s="26" t="inlineStr"/>
      <c r="L11" s="16" t="inlineStr">
        <is>
          <t>Orta</t>
        </is>
      </c>
      <c r="M11" s="18" t="inlineStr"/>
    </row>
    <row r="14">
      <c r="A14" s="27" t="inlineStr">
        <is>
          <t>Bu sayfadaki tüm senaryolar test edilmiş ve sonuçlar yukarıda işaretlenmiştir.</t>
        </is>
      </c>
    </row>
    <row r="15">
      <c r="A15" s="28" t="inlineStr">
        <is>
          <t>Test Eden (Tarodan)</t>
        </is>
      </c>
      <c r="D15" s="28" t="inlineStr">
        <is>
          <t>Tarih</t>
        </is>
      </c>
      <c r="G15" s="28" t="inlineStr">
        <is>
          <t>Onaylayan (Müşteri)</t>
        </is>
      </c>
      <c r="J15" s="28" t="inlineStr">
        <is>
          <t>Tarih</t>
        </is>
      </c>
    </row>
    <row r="16">
      <c r="A16" s="7" t="n"/>
      <c r="D16" s="7" t="n"/>
      <c r="G16" s="7" t="n"/>
      <c r="J16" s="7" t="n"/>
    </row>
  </sheetData>
  <mergeCells count="7">
    <mergeCell ref="A14:M14"/>
    <mergeCell ref="A16:B16"/>
    <mergeCell ref="D16:E16"/>
    <mergeCell ref="A1:M1"/>
    <mergeCell ref="G16:H16"/>
    <mergeCell ref="J16:K16"/>
    <mergeCell ref="A2:M2"/>
  </mergeCells>
  <conditionalFormatting sqref="H4:H11">
    <cfRule type="cellIs" priority="1" operator="equal" dxfId="0">
      <formula>"Geçti"</formula>
    </cfRule>
    <cfRule type="cellIs" priority="2" operator="equal" dxfId="1">
      <formula>"Kaldı"</formula>
    </cfRule>
    <cfRule type="cellIs" priority="3" operator="equal" dxfId="2">
      <formula>"Bloke"</formula>
    </cfRule>
    <cfRule type="cellIs" priority="4" operator="equal" dxfId="3">
      <formula>"N/A"</formula>
    </cfRule>
    <cfRule type="cellIs" priority="5" operator="equal" dxfId="4">
      <formula>"Beklemede"</formula>
    </cfRule>
  </conditionalFormatting>
  <dataValidations count="3">
    <dataValidation sqref="H4:H11" showDropDown="0" showInputMessage="0" showErrorMessage="0" allowBlank="1" errorTitle="Geçersiz değer" error="Lütfen listedeki seçeneklerden birini seçin." type="list">
      <formula1>"Beklemede,Geçti,Kaldı,Bloke,Yapılamadı,N/A"</formula1>
    </dataValidation>
    <dataValidation sqref="L4:L11" showDropDown="0" showInputMessage="0" showErrorMessage="0" allowBlank="1" type="list">
      <formula1>"Kritik,Yüksek,Orta,Düşük"</formula1>
    </dataValidation>
    <dataValidation sqref="K4:K11" showDropDown="0" showInputMessage="0" showErrorMessage="0" allowBlank="1" type="list">
      <formula1>"Chrome Desktop,Safari Desktop,Firefox Desktop,Edge Desktop,Chrome Mobile (Android),Safari Mobile (iOS),Tablet,Tüm Tarayıcılar"</formula1>
    </dataValidation>
  </dataValidation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2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30" customHeight="1">
      <c r="A1" s="12" t="inlineStr">
        <is>
          <t>RESMİ TESLİM VE KABUL TUTANAĞI</t>
        </is>
      </c>
    </row>
    <row r="2"/>
    <row r="3"/>
    <row r="5" ht="22" customHeight="1">
      <c r="B5" s="9" t="inlineStr">
        <is>
          <t>Tarodan e-ticaret platformunun (tarodan.shop kullanıcı sitesi ve admin paneli) Kullanıcı Kabul Testi (UAT) süreci tamamlanmıştır. Bu doküman içerisinde yer alan tüm sheet'lerdeki test senaryoları her iki tarafça yürütülmüş, sonuçlar ilgili sheet'lere işlenmiş ve sheet bazlı imzalar alınmıştır.
Aşağıda imzası bulunan müşteri yetkilisi, platformun teslim alındığını ve sözleşmede tanımlanan kapsama uygun şekilde çalıştığını teyit eder.</t>
        </is>
      </c>
    </row>
    <row r="6" ht="22" customHeight="1"/>
    <row r="7" ht="22" customHeight="1"/>
    <row r="8" ht="22" customHeight="1"/>
    <row r="11" ht="22" customHeight="1">
      <c r="B11" s="29" t="inlineStr">
        <is>
          <t>Toplam Sheet Sayısı</t>
        </is>
      </c>
      <c r="C11" s="30" t="inlineStr">
        <is>
          <t>64</t>
        </is>
      </c>
      <c r="D11" s="7" t="n"/>
      <c r="E11" s="7" t="n"/>
      <c r="F11" s="7" t="n"/>
    </row>
    <row r="12" ht="22" customHeight="1">
      <c r="B12" s="29" t="inlineStr">
        <is>
          <t>Toplam Test Senaryosu</t>
        </is>
      </c>
      <c r="C12" s="30" t="inlineStr">
        <is>
          <t>502</t>
        </is>
      </c>
      <c r="D12" s="7" t="n"/>
      <c r="E12" s="7" t="n"/>
      <c r="F12" s="7" t="n"/>
    </row>
    <row r="13" ht="22" customHeight="1">
      <c r="B13" s="29" t="inlineStr">
        <is>
          <t>Test Süreci Başlangıç</t>
        </is>
      </c>
      <c r="C13" s="30" t="inlineStr"/>
      <c r="D13" s="7" t="n"/>
      <c r="E13" s="7" t="n"/>
      <c r="F13" s="7" t="n"/>
    </row>
    <row r="14" ht="22" customHeight="1">
      <c r="B14" s="29" t="inlineStr">
        <is>
          <t>Test Süreci Bitiş</t>
        </is>
      </c>
      <c r="C14" s="30" t="inlineStr"/>
      <c r="D14" s="7" t="n"/>
      <c r="E14" s="7" t="n"/>
      <c r="F14" s="7" t="n"/>
    </row>
    <row r="15" ht="22" customHeight="1">
      <c r="B15" s="29" t="inlineStr">
        <is>
          <t>Bulunan Bug Sayısı</t>
        </is>
      </c>
      <c r="C15" s="30" t="inlineStr"/>
      <c r="D15" s="7" t="n"/>
      <c r="E15" s="7" t="n"/>
      <c r="F15" s="7" t="n"/>
    </row>
    <row r="16" ht="22" customHeight="1">
      <c r="B16" s="29" t="inlineStr">
        <is>
          <t>Düzeltilen Bug Sayısı</t>
        </is>
      </c>
      <c r="C16" s="30" t="inlineStr"/>
      <c r="D16" s="7" t="n"/>
      <c r="E16" s="7" t="n"/>
      <c r="F16" s="7" t="n"/>
    </row>
    <row r="17" ht="22" customHeight="1">
      <c r="B17" s="29" t="inlineStr">
        <is>
          <t>Açık Bug Sayısı</t>
        </is>
      </c>
      <c r="C17" s="30" t="inlineStr"/>
      <c r="D17" s="7" t="n"/>
      <c r="E17" s="7" t="n"/>
      <c r="F17" s="7" t="n"/>
    </row>
    <row r="22" ht="30" customHeight="1">
      <c r="B22" s="8" t="inlineStr">
        <is>
          <t>TARODAN</t>
        </is>
      </c>
      <c r="F22" s="8" t="inlineStr">
        <is>
          <t>MÜŞTERİ</t>
        </is>
      </c>
    </row>
    <row r="23">
      <c r="B23" s="10" t="inlineStr">
        <is>
          <t>Proje Sorumlusu</t>
        </is>
      </c>
      <c r="F23" s="10" t="inlineStr">
        <is>
          <t>Yetkili</t>
        </is>
      </c>
    </row>
    <row r="24" ht="24" customHeight="1">
      <c r="B24" s="11" t="inlineStr">
        <is>
          <t>Ad Soyad</t>
        </is>
      </c>
      <c r="C24" s="7" t="n"/>
      <c r="D24" s="7" t="n"/>
      <c r="E24" s="7" t="n"/>
      <c r="F24" s="11" t="inlineStr">
        <is>
          <t>Ad Soyad</t>
        </is>
      </c>
      <c r="G24" s="7" t="n"/>
      <c r="H24" s="7" t="n"/>
      <c r="I24" s="7" t="n"/>
    </row>
    <row r="25" ht="24" customHeight="1">
      <c r="B25" s="11" t="inlineStr">
        <is>
          <t>Ünvan</t>
        </is>
      </c>
      <c r="C25" s="7" t="n"/>
      <c r="D25" s="7" t="n"/>
      <c r="E25" s="7" t="n"/>
      <c r="F25" s="11" t="inlineStr">
        <is>
          <t>Ünvan</t>
        </is>
      </c>
      <c r="G25" s="7" t="n"/>
      <c r="H25" s="7" t="n"/>
      <c r="I25" s="7" t="n"/>
    </row>
    <row r="26" ht="24" customHeight="1">
      <c r="B26" s="11" t="inlineStr">
        <is>
          <t>Tarih</t>
        </is>
      </c>
      <c r="C26" s="7" t="n"/>
      <c r="D26" s="7" t="n"/>
      <c r="E26" s="7" t="n"/>
      <c r="F26" s="11" t="inlineStr">
        <is>
          <t>Tarih</t>
        </is>
      </c>
      <c r="G26" s="7" t="n"/>
      <c r="H26" s="7" t="n"/>
      <c r="I26" s="7" t="n"/>
    </row>
    <row r="27" ht="36" customHeight="1">
      <c r="B27" s="11" t="inlineStr">
        <is>
          <t>İmza / Kaşe</t>
        </is>
      </c>
      <c r="C27" s="7" t="n"/>
      <c r="D27" s="7" t="n"/>
      <c r="E27" s="7" t="n"/>
      <c r="F27" s="11" t="inlineStr">
        <is>
          <t>İmza / Kaşe</t>
        </is>
      </c>
      <c r="G27" s="7" t="n"/>
      <c r="H27" s="7" t="n"/>
      <c r="I27" s="7" t="n"/>
    </row>
  </sheetData>
  <mergeCells count="21">
    <mergeCell ref="C17:F17"/>
    <mergeCell ref="C13:F13"/>
    <mergeCell ref="G24:I24"/>
    <mergeCell ref="C27:E27"/>
    <mergeCell ref="C15:F15"/>
    <mergeCell ref="G26:I26"/>
    <mergeCell ref="B22:E22"/>
    <mergeCell ref="C14:F14"/>
    <mergeCell ref="G25:I25"/>
    <mergeCell ref="C16:F16"/>
    <mergeCell ref="C24:E24"/>
    <mergeCell ref="B5:H8"/>
    <mergeCell ref="B23:E23"/>
    <mergeCell ref="G27:I27"/>
    <mergeCell ref="C12:F12"/>
    <mergeCell ref="C26:E26"/>
    <mergeCell ref="A1:I3"/>
    <mergeCell ref="C11:F11"/>
    <mergeCell ref="F23:I23"/>
    <mergeCell ref="C25:E25"/>
    <mergeCell ref="F22:I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2026-05-01T15:02:58Z</dcterms:created>
  <dcterms:modified xmlns:dcterms="http://purl.org/dc/terms/" xmlns:xsi="http://www.w3.org/2001/XMLSchema-instance" xsi:type="dcterms:W3CDTF">2026-05-01T15:02:58Z</dcterms:modified>
</cp:coreProperties>
</file>